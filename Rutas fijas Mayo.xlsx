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xampp\htdocs\TML\"/>
    </mc:Choice>
  </mc:AlternateContent>
  <xr:revisionPtr revIDLastSave="0" documentId="13_ncr:1_{92B59408-AF21-4344-8271-F0070F5580AE}" xr6:coauthVersionLast="47" xr6:coauthVersionMax="47" xr10:uidLastSave="{00000000-0000-0000-0000-000000000000}"/>
  <bookViews>
    <workbookView xWindow="-110" yWindow="-110" windowWidth="25820" windowHeight="13900" firstSheet="2" activeTab="2" xr2:uid="{D09B0022-7EF7-407F-9BC7-0B5815E45CB7}"/>
  </bookViews>
  <sheets>
    <sheet name="Hoja1" sheetId="3" r:id="rId1"/>
    <sheet name="Rutas Fijas MAYO" sheetId="1" r:id="rId2"/>
    <sheet name="RUTAS X SUP" sheetId="4" r:id="rId3"/>
    <sheet name="Hoja3" sheetId="5" r:id="rId4"/>
    <sheet name="Rutas desactivadas" sheetId="2" state="hidden" r:id="rId5"/>
  </sheets>
  <definedNames>
    <definedName name="_xlnm._FilterDatabase" localSheetId="0" hidden="1">Hoja1!$A$3:$B$13</definedName>
    <definedName name="_xlnm._FilterDatabase" localSheetId="1" hidden="1">'Rutas Fijas MAYO'!$A$1:$M$101</definedName>
    <definedName name="_xlnm._FilterDatabase" localSheetId="2" hidden="1">'RUTAS X SUP'!$A$1:$G$101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2" i="4"/>
  <c r="E15" i="3" l="1"/>
</calcChain>
</file>

<file path=xl/sharedStrings.xml><?xml version="1.0" encoding="utf-8"?>
<sst xmlns="http://schemas.openxmlformats.org/spreadsheetml/2006/main" count="2317" uniqueCount="298">
  <si>
    <t>Etiquetas de fila</t>
  </si>
  <si>
    <t>Cuenta de Código ruta</t>
  </si>
  <si>
    <t>PAE EL SALVADOR, LTDA. DE C.V.</t>
  </si>
  <si>
    <t>FLAVIO ANTONIO LAGUAN MARTINEZ</t>
  </si>
  <si>
    <t>VELARMINO MEJIA GARCIA</t>
  </si>
  <si>
    <t>LA CONSTANCIA LTDA. DE C.V.</t>
  </si>
  <si>
    <t>SERGIO ANTONIO GARCIA CORNEJO</t>
  </si>
  <si>
    <t>CARLOS ANTONIO MARROQUIN SANCHEZ</t>
  </si>
  <si>
    <t>JUAN CARLOS FLORES GARCIA</t>
  </si>
  <si>
    <t>PEDRO VASQUEZ MARTINEZ</t>
  </si>
  <si>
    <t>JUAN ANTONIO FERNANDEZ ALVARADO</t>
  </si>
  <si>
    <t>Total general</t>
  </si>
  <si>
    <t>ID Loc</t>
  </si>
  <si>
    <t>Mes dimensionado</t>
  </si>
  <si>
    <t>AÑO</t>
  </si>
  <si>
    <t>Canal</t>
  </si>
  <si>
    <t>Código SAP Proveedor</t>
  </si>
  <si>
    <t>Cantidad de personas en ruta</t>
  </si>
  <si>
    <t>Código ruta</t>
  </si>
  <si>
    <t>Categoría</t>
  </si>
  <si>
    <t>Territorio fijo</t>
  </si>
  <si>
    <t>Estatus</t>
  </si>
  <si>
    <t>Tipo</t>
  </si>
  <si>
    <t>Localidad</t>
  </si>
  <si>
    <t>Transportista</t>
  </si>
  <si>
    <t>DS00</t>
  </si>
  <si>
    <t>LC 1 /PAE 1</t>
  </si>
  <si>
    <t>ILC00</t>
  </si>
  <si>
    <t>DS0001</t>
  </si>
  <si>
    <t>GC</t>
  </si>
  <si>
    <t>Activada</t>
  </si>
  <si>
    <t>No Aplica</t>
  </si>
  <si>
    <t>CD Soyapango</t>
  </si>
  <si>
    <t>DS0002</t>
  </si>
  <si>
    <t>Contratista</t>
  </si>
  <si>
    <t>W00202</t>
  </si>
  <si>
    <t>DS0003</t>
  </si>
  <si>
    <t>W00153</t>
  </si>
  <si>
    <t>DS0004</t>
  </si>
  <si>
    <t>W00190</t>
  </si>
  <si>
    <t>DS0006</t>
  </si>
  <si>
    <t>W00058</t>
  </si>
  <si>
    <t>DS0007</t>
  </si>
  <si>
    <t>DS0008</t>
  </si>
  <si>
    <t>DS0009</t>
  </si>
  <si>
    <t>PAE</t>
  </si>
  <si>
    <t>W00205</t>
  </si>
  <si>
    <t>DS000H</t>
  </si>
  <si>
    <t>AJ</t>
  </si>
  <si>
    <t>W00056</t>
  </si>
  <si>
    <t>DS0011</t>
  </si>
  <si>
    <t>DS0012</t>
  </si>
  <si>
    <t>DS0083</t>
  </si>
  <si>
    <t>LC 1/PAE 2</t>
  </si>
  <si>
    <t>DS0014</t>
  </si>
  <si>
    <t>DS0019</t>
  </si>
  <si>
    <t>DS001H</t>
  </si>
  <si>
    <t>DS0020</t>
  </si>
  <si>
    <t>DS0021</t>
  </si>
  <si>
    <t>DS0022</t>
  </si>
  <si>
    <t>W00070</t>
  </si>
  <si>
    <t>DS0023</t>
  </si>
  <si>
    <t>DS0024</t>
  </si>
  <si>
    <t>DS0025</t>
  </si>
  <si>
    <t>DS0027</t>
  </si>
  <si>
    <t>DS0028</t>
  </si>
  <si>
    <t>DS0031</t>
  </si>
  <si>
    <t>LC</t>
  </si>
  <si>
    <t>DS0032</t>
  </si>
  <si>
    <t>DS0033</t>
  </si>
  <si>
    <t>DS0034</t>
  </si>
  <si>
    <t>DS0035</t>
  </si>
  <si>
    <t>DS0037</t>
  </si>
  <si>
    <t>W00189</t>
  </si>
  <si>
    <t>DS0038</t>
  </si>
  <si>
    <t>DS0039</t>
  </si>
  <si>
    <t>DS0040</t>
  </si>
  <si>
    <t>DS0041</t>
  </si>
  <si>
    <t>LC 2/PAE 1</t>
  </si>
  <si>
    <t>DS0042</t>
  </si>
  <si>
    <t>DS0044</t>
  </si>
  <si>
    <t>DS0045</t>
  </si>
  <si>
    <t>DS0046</t>
  </si>
  <si>
    <t>DS004H</t>
  </si>
  <si>
    <t>DS0050</t>
  </si>
  <si>
    <t>DS0054</t>
  </si>
  <si>
    <t>DS0055</t>
  </si>
  <si>
    <t>DS0056</t>
  </si>
  <si>
    <t>DS0058</t>
  </si>
  <si>
    <t>DS0059</t>
  </si>
  <si>
    <t>DS005H</t>
  </si>
  <si>
    <t>DS0061</t>
  </si>
  <si>
    <t>DS0062</t>
  </si>
  <si>
    <t>DS0064</t>
  </si>
  <si>
    <t>DS0066</t>
  </si>
  <si>
    <t>DS0067</t>
  </si>
  <si>
    <t>DS0068</t>
  </si>
  <si>
    <t>DS0069</t>
  </si>
  <si>
    <t>DS006H</t>
  </si>
  <si>
    <t>DS0074</t>
  </si>
  <si>
    <t>DS0075</t>
  </si>
  <si>
    <t>DS0076</t>
  </si>
  <si>
    <t>DS0077</t>
  </si>
  <si>
    <t>DS0078</t>
  </si>
  <si>
    <t>DS0079</t>
  </si>
  <si>
    <t>DS007H</t>
  </si>
  <si>
    <t>DS0081</t>
  </si>
  <si>
    <t>DS0082</t>
  </si>
  <si>
    <t>DS0084</t>
  </si>
  <si>
    <t>DS0086</t>
  </si>
  <si>
    <t>DS0088</t>
  </si>
  <si>
    <t>DS0089</t>
  </si>
  <si>
    <t>DS0090</t>
  </si>
  <si>
    <t>DS0091</t>
  </si>
  <si>
    <t>DS0092</t>
  </si>
  <si>
    <t>DS0095</t>
  </si>
  <si>
    <t>DS0097</t>
  </si>
  <si>
    <t>DS0099</t>
  </si>
  <si>
    <t>DS009H</t>
  </si>
  <si>
    <t>DS00A3</t>
  </si>
  <si>
    <t>DS00B2</t>
  </si>
  <si>
    <t>DS00B4</t>
  </si>
  <si>
    <t>DS00CH</t>
  </si>
  <si>
    <t>DS00DD</t>
  </si>
  <si>
    <t>DS00DM</t>
  </si>
  <si>
    <t>DS00DV</t>
  </si>
  <si>
    <t>DS00EH</t>
  </si>
  <si>
    <t>DS00FH</t>
  </si>
  <si>
    <t>DS00GH</t>
  </si>
  <si>
    <t>DS00H0</t>
  </si>
  <si>
    <t>DS00H4</t>
  </si>
  <si>
    <t>DS00H7</t>
  </si>
  <si>
    <t>DS00T6</t>
  </si>
  <si>
    <t>DS00T7</t>
  </si>
  <si>
    <t>DS00U2</t>
  </si>
  <si>
    <t>DS00U7</t>
  </si>
  <si>
    <t>DS00DE</t>
  </si>
  <si>
    <t>DS0051</t>
  </si>
  <si>
    <t>DS00DG</t>
  </si>
  <si>
    <t>DS00DS</t>
  </si>
  <si>
    <t>DS00U5</t>
  </si>
  <si>
    <t>DS0036</t>
  </si>
  <si>
    <t>DS00DU</t>
  </si>
  <si>
    <t>DS0047</t>
  </si>
  <si>
    <t>DS0057</t>
  </si>
  <si>
    <t>DS0015</t>
  </si>
  <si>
    <t>SUP</t>
  </si>
  <si>
    <t>no tiene</t>
  </si>
  <si>
    <t>DS00DW</t>
  </si>
  <si>
    <t>DS00D3</t>
  </si>
  <si>
    <t>DS0013</t>
  </si>
  <si>
    <t>RUTA</t>
  </si>
  <si>
    <t>CONTRATISTA</t>
  </si>
  <si>
    <t>ESTATUS</t>
  </si>
  <si>
    <t>CANAL</t>
  </si>
  <si>
    <t>SUPERVISOR</t>
  </si>
  <si>
    <t>ILC</t>
  </si>
  <si>
    <t>FIJA</t>
  </si>
  <si>
    <t>G&amp;C</t>
  </si>
  <si>
    <t>JUAN CARLOS RAMIREZ SIBRIAN</t>
  </si>
  <si>
    <t>VACACIONES</t>
  </si>
  <si>
    <t>KASSANDRA GUADALUPE HERNANDEZ</t>
  </si>
  <si>
    <t>DS0005</t>
  </si>
  <si>
    <t>DUMMY</t>
  </si>
  <si>
    <t>COORDINACION</t>
  </si>
  <si>
    <t>ELMER NEFTALI FIGUEROA</t>
  </si>
  <si>
    <t>BRYAN ADONIS GALDÁMEZ SALAZAR</t>
  </si>
  <si>
    <t>DS0010</t>
  </si>
  <si>
    <t>ALEX RODAS</t>
  </si>
  <si>
    <t>DESACTIVADA</t>
  </si>
  <si>
    <t>DS0016</t>
  </si>
  <si>
    <t>DS0017</t>
  </si>
  <si>
    <t>DS0018</t>
  </si>
  <si>
    <t>DS0029</t>
  </si>
  <si>
    <t>DS0030</t>
  </si>
  <si>
    <t>PAE EL SALVADOR</t>
  </si>
  <si>
    <t>DS0048</t>
  </si>
  <si>
    <t>DS0049</t>
  </si>
  <si>
    <t>DS0053</t>
  </si>
  <si>
    <t>DS0072</t>
  </si>
  <si>
    <t>DS0080</t>
  </si>
  <si>
    <t>DS0085</t>
  </si>
  <si>
    <t>ROSA MIRIAM CUELLAR</t>
  </si>
  <si>
    <t>Fletera</t>
  </si>
  <si>
    <t>DS0087</t>
  </si>
  <si>
    <t>FLETERA FIJA</t>
  </si>
  <si>
    <t>DS0096</t>
  </si>
  <si>
    <t>Spot</t>
  </si>
  <si>
    <t>DS0098</t>
  </si>
  <si>
    <t>DS00A1</t>
  </si>
  <si>
    <t>DS00A2</t>
  </si>
  <si>
    <t>DS00A4</t>
  </si>
  <si>
    <t>DS00A5</t>
  </si>
  <si>
    <t>DS00A7</t>
  </si>
  <si>
    <t>LUIS ERNESTO CAMPOS BARAHONA</t>
  </si>
  <si>
    <t xml:space="preserve">FLETERA </t>
  </si>
  <si>
    <t>DS00A8</t>
  </si>
  <si>
    <t>DS00A9</t>
  </si>
  <si>
    <t>DS00B1</t>
  </si>
  <si>
    <t>DS00B3</t>
  </si>
  <si>
    <t>ERNESTO ALEXANDER CAMPOS</t>
  </si>
  <si>
    <t>DS00B5</t>
  </si>
  <si>
    <t>DS00B6</t>
  </si>
  <si>
    <t>DS00B7</t>
  </si>
  <si>
    <t>DS00B8</t>
  </si>
  <si>
    <t>DS00B9</t>
  </si>
  <si>
    <t>DS00D1</t>
  </si>
  <si>
    <t>ABRAHAM BONILLA AMAYA</t>
  </si>
  <si>
    <t>DS00D2</t>
  </si>
  <si>
    <t>DS00D4</t>
  </si>
  <si>
    <t>DS00D5</t>
  </si>
  <si>
    <t>DS00D6</t>
  </si>
  <si>
    <t>DS00D7</t>
  </si>
  <si>
    <t>DS00D9</t>
  </si>
  <si>
    <t>DS00DA</t>
  </si>
  <si>
    <t>DS00DB</t>
  </si>
  <si>
    <t>DS00DC</t>
  </si>
  <si>
    <t>DS00DF</t>
  </si>
  <si>
    <t>DS00DH</t>
  </si>
  <si>
    <t>DS00DJ</t>
  </si>
  <si>
    <t>DS00DK</t>
  </si>
  <si>
    <t>DS00DL</t>
  </si>
  <si>
    <t>DS00DN</t>
  </si>
  <si>
    <t>DS00DP</t>
  </si>
  <si>
    <t>DS00DQ</t>
  </si>
  <si>
    <t>DS00DR</t>
  </si>
  <si>
    <t>DS00DT</t>
  </si>
  <si>
    <t>DS00E2</t>
  </si>
  <si>
    <t>DS00E3</t>
  </si>
  <si>
    <t>DS00G1</t>
  </si>
  <si>
    <t>OSCAR EDGARDO RAMIREZ</t>
  </si>
  <si>
    <t>DS00G2</t>
  </si>
  <si>
    <t>DS00G3</t>
  </si>
  <si>
    <t>DS00G4</t>
  </si>
  <si>
    <t>DS00IA</t>
  </si>
  <si>
    <t>DS00IB</t>
  </si>
  <si>
    <t>DS00IC</t>
  </si>
  <si>
    <t>DS00ID</t>
  </si>
  <si>
    <t>DS00IE</t>
  </si>
  <si>
    <t>DS00IF</t>
  </si>
  <si>
    <t>DS00IG</t>
  </si>
  <si>
    <t>DS00IJ</t>
  </si>
  <si>
    <t>DS00IK</t>
  </si>
  <si>
    <t>DS00IL</t>
  </si>
  <si>
    <t>DS00IM</t>
  </si>
  <si>
    <t>DS00IN</t>
  </si>
  <si>
    <t>DS00T1</t>
  </si>
  <si>
    <t>DS00T2</t>
  </si>
  <si>
    <t>DS00T4</t>
  </si>
  <si>
    <t>DS00T5</t>
  </si>
  <si>
    <t>VANS</t>
  </si>
  <si>
    <t>DS00T8</t>
  </si>
  <si>
    <t>DS00T9</t>
  </si>
  <si>
    <t>DS00U4</t>
  </si>
  <si>
    <t>DS00U9</t>
  </si>
  <si>
    <t>DS00V1</t>
  </si>
  <si>
    <t>DS00V2</t>
  </si>
  <si>
    <t>DS00V3</t>
  </si>
  <si>
    <t>DS00V4</t>
  </si>
  <si>
    <t>DS00V5</t>
  </si>
  <si>
    <t>DS00V6</t>
  </si>
  <si>
    <t>DS00V7</t>
  </si>
  <si>
    <t>DS00V8</t>
  </si>
  <si>
    <t>DS00V9</t>
  </si>
  <si>
    <t>DS00A6</t>
  </si>
  <si>
    <t>HOD</t>
  </si>
  <si>
    <t>JOSE ALEXANDER GARCIA SAÑA</t>
  </si>
  <si>
    <t>DS00H9</t>
  </si>
  <si>
    <t>DS00H1</t>
  </si>
  <si>
    <t>FLETERA</t>
  </si>
  <si>
    <t>DS00HC</t>
  </si>
  <si>
    <t>DS00DX</t>
  </si>
  <si>
    <t>DS00DY</t>
  </si>
  <si>
    <t>DS00H2</t>
  </si>
  <si>
    <t>DS00H8</t>
  </si>
  <si>
    <t>Rutas desactivadas</t>
  </si>
  <si>
    <t>Tripulación</t>
  </si>
  <si>
    <t>Comentario</t>
  </si>
  <si>
    <t>MAVI</t>
  </si>
  <si>
    <t>LUJU</t>
  </si>
  <si>
    <t>MISA</t>
  </si>
  <si>
    <t>Desactivada</t>
  </si>
  <si>
    <t>Asignar a ruta DS00D9</t>
  </si>
  <si>
    <t>DS0031 / DS00D9</t>
  </si>
  <si>
    <t>Sin territorio</t>
  </si>
  <si>
    <t>Asignar a ruta DS00B3</t>
  </si>
  <si>
    <t xml:space="preserve">1. Rutas aledañas deberan adsorber el volumen de territorios </t>
  </si>
  <si>
    <t>DS0019 / DS0009</t>
  </si>
  <si>
    <t>DS0007 / DS0006</t>
  </si>
  <si>
    <t>1. planificar a 7.5 Toneladas</t>
  </si>
  <si>
    <t>1. Rutas aledañas deberan adsorber el volumen de territorios</t>
  </si>
  <si>
    <t>DS0038 / DS0011 / DS0087</t>
  </si>
  <si>
    <t>DS0035 / DS0020</t>
  </si>
  <si>
    <t xml:space="preserve">2. Vans DS00T6 adsorbe clientes de zona de los almendros </t>
  </si>
  <si>
    <t>Cambio</t>
  </si>
  <si>
    <t>Asignar a ruta DS00D4 A 7.5 Toneladas</t>
  </si>
  <si>
    <t>Vacaciones</t>
  </si>
  <si>
    <t>Cambio de territorio con la ruta DS0012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</si>
</sst>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7D3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3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0" fontId="0" fillId="5" borderId="6" xfId="0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Edgardo Cuellar Colato" refreshedDate="46140.709168865738" createdVersion="8" refreshedVersion="8" minRefreshableVersion="3" recordCount="100" xr:uid="{14ECC765-8F07-403B-A8B8-F8E456AC9B86}">
  <cacheSource type="worksheet">
    <worksheetSource ref="A1:M101" sheet="Rutas Fijas MAYO"/>
  </cacheSource>
  <cacheFields count="13">
    <cacheField name="ID Loc" numFmtId="0">
      <sharedItems/>
    </cacheField>
    <cacheField name="Mes dimensionado" numFmtId="0">
      <sharedItems containsSemiMixedTypes="0" containsString="0" containsNumber="1" containsInteger="1" minValue="5" maxValue="5"/>
    </cacheField>
    <cacheField name="AÑO" numFmtId="0">
      <sharedItems containsSemiMixedTypes="0" containsString="0" containsNumber="1" containsInteger="1" minValue="2026" maxValue="2026"/>
    </cacheField>
    <cacheField name="Canal" numFmtId="0">
      <sharedItems/>
    </cacheField>
    <cacheField name="Código SAP Proveedor" numFmtId="0">
      <sharedItems/>
    </cacheField>
    <cacheField name="Cantidad de personas en ruta" numFmtId="0">
      <sharedItems containsSemiMixedTypes="0" containsString="0" containsNumber="1" containsInteger="1" minValue="1" maxValue="3"/>
    </cacheField>
    <cacheField name="Código ruta" numFmtId="0">
      <sharedItems/>
    </cacheField>
    <cacheField name="Categoría" numFmtId="0">
      <sharedItems/>
    </cacheField>
    <cacheField name="Territorio fijo" numFmtId="0">
      <sharedItems containsNonDate="0" containsString="0" containsBlank="1"/>
    </cacheField>
    <cacheField name="Estatus" numFmtId="0">
      <sharedItems/>
    </cacheField>
    <cacheField name="Tipo" numFmtId="0">
      <sharedItems/>
    </cacheField>
    <cacheField name="Localidad" numFmtId="0">
      <sharedItems/>
    </cacheField>
    <cacheField name="Transportista" numFmtId="0">
      <sharedItems count="9">
        <s v="LA CONSTANCIA LTDA. DE C.V."/>
        <s v="FLAVIO ANTONIO LAGUAN MARTINEZ"/>
        <s v="SERGIO ANTONIO GARCIA CORNEJO"/>
        <s v="PEDRO VASQUEZ MARTINEZ"/>
        <s v="VELARMINO MEJIA GARCIA"/>
        <s v="PAE EL SALVADOR, LTDA. DE C.V."/>
        <s v="JUAN CARLOS FLORES GARCIA"/>
        <s v="CARLOS ANTONIO MARROQUIN SANCHEZ"/>
        <s v="JUAN ANTONIO FERNANDEZ ALVAR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DS00"/>
    <n v="5"/>
    <n v="2026"/>
    <s v="LC 1 /PAE 1"/>
    <s v="ILC00"/>
    <n v="2"/>
    <s v="DS0001"/>
    <s v="GC"/>
    <m/>
    <s v="Activada"/>
    <s v="No Aplica"/>
    <s v="CD Soyapango"/>
    <x v="0"/>
  </r>
  <r>
    <s v="DS00"/>
    <n v="5"/>
    <n v="2026"/>
    <s v="LC 1 /PAE 1"/>
    <s v="ILC00"/>
    <n v="2"/>
    <s v="DS0002"/>
    <s v="GC"/>
    <m/>
    <s v="Activada"/>
    <s v="No Aplica"/>
    <s v="CD Soyapango"/>
    <x v="0"/>
  </r>
  <r>
    <s v="DS00"/>
    <n v="5"/>
    <n v="2026"/>
    <s v="Contratista"/>
    <s v="W00202"/>
    <n v="3"/>
    <s v="DS0003"/>
    <s v="GC"/>
    <m/>
    <s v="Activada"/>
    <s v="No Aplica"/>
    <s v="CD Soyapango"/>
    <x v="1"/>
  </r>
  <r>
    <s v="DS00"/>
    <n v="5"/>
    <n v="2026"/>
    <s v="Contratista"/>
    <s v="W00153"/>
    <n v="3"/>
    <s v="DS0004"/>
    <s v="GC"/>
    <m/>
    <s v="Activada"/>
    <s v="No Aplica"/>
    <s v="CD Soyapango"/>
    <x v="2"/>
  </r>
  <r>
    <s v="DS00"/>
    <n v="5"/>
    <n v="2026"/>
    <s v="Contratista"/>
    <s v="W00190"/>
    <n v="2"/>
    <s v="DS0006"/>
    <s v="GC"/>
    <m/>
    <s v="Activada"/>
    <s v="No Aplica"/>
    <s v="CD Soyapango"/>
    <x v="3"/>
  </r>
  <r>
    <s v="DS00"/>
    <n v="5"/>
    <n v="2026"/>
    <s v="Contratista"/>
    <s v="W00058"/>
    <n v="2"/>
    <s v="DS0007"/>
    <s v="GC"/>
    <m/>
    <s v="Activada"/>
    <s v="No Aplica"/>
    <s v="CD Soyapango"/>
    <x v="4"/>
  </r>
  <r>
    <s v="DS00"/>
    <n v="5"/>
    <n v="2026"/>
    <s v="Contratista"/>
    <s v="W00153"/>
    <n v="3"/>
    <s v="DS0008"/>
    <s v="GC"/>
    <m/>
    <s v="Activada"/>
    <s v="No Aplica"/>
    <s v="CD Soyapango"/>
    <x v="2"/>
  </r>
  <r>
    <s v="DS00"/>
    <n v="5"/>
    <n v="2026"/>
    <s v="Contratista"/>
    <s v="W00058"/>
    <n v="2"/>
    <s v="DS0009"/>
    <s v="GC"/>
    <m/>
    <s v="Activada"/>
    <s v="No Aplica"/>
    <s v="CD Soyapango"/>
    <x v="4"/>
  </r>
  <r>
    <s v="DS00"/>
    <n v="5"/>
    <n v="2026"/>
    <s v="PAE"/>
    <s v="W00205"/>
    <n v="3"/>
    <s v="DS000H"/>
    <s v="AJ"/>
    <m/>
    <s v="Activada"/>
    <s v="No Aplica"/>
    <s v="CD Soyapango"/>
    <x v="5"/>
  </r>
  <r>
    <s v="DS00"/>
    <n v="5"/>
    <n v="2026"/>
    <s v="Contratista"/>
    <s v="W00056"/>
    <n v="2"/>
    <s v="DS0011"/>
    <s v="GC"/>
    <m/>
    <s v="Activada"/>
    <s v="No Aplica"/>
    <s v="CD Soyapango"/>
    <x v="6"/>
  </r>
  <r>
    <s v="DS00"/>
    <n v="5"/>
    <n v="2026"/>
    <s v="Contratista"/>
    <s v="W00058"/>
    <n v="3"/>
    <s v="DS0012"/>
    <s v="GC"/>
    <m/>
    <s v="Activada"/>
    <s v="No Aplica"/>
    <s v="CD Soyapango"/>
    <x v="4"/>
  </r>
  <r>
    <s v="DS00"/>
    <n v="5"/>
    <n v="2026"/>
    <s v="Contratista"/>
    <s v="W00202"/>
    <n v="3"/>
    <s v="DS0083"/>
    <s v="GC"/>
    <m/>
    <s v="Activada"/>
    <s v="No Aplica"/>
    <s v="CD Soyapango"/>
    <x v="1"/>
  </r>
  <r>
    <s v="DS00"/>
    <n v="5"/>
    <n v="2026"/>
    <s v="LC 1/PAE 2"/>
    <s v="ILC00"/>
    <n v="3"/>
    <s v="DS0014"/>
    <s v="GC"/>
    <m/>
    <s v="Activada"/>
    <s v="No Aplica"/>
    <s v="CD Soyapango"/>
    <x v="0"/>
  </r>
  <r>
    <s v="DS00"/>
    <n v="5"/>
    <n v="2026"/>
    <s v="Contratista"/>
    <s v="W00202"/>
    <n v="3"/>
    <s v="DS0019"/>
    <s v="GC"/>
    <m/>
    <s v="Activada"/>
    <s v="No Aplica"/>
    <s v="CD Soyapango"/>
    <x v="1"/>
  </r>
  <r>
    <s v="DS00"/>
    <n v="5"/>
    <n v="2026"/>
    <s v="PAE"/>
    <s v="W00205"/>
    <n v="3"/>
    <s v="DS001H"/>
    <s v="AJ"/>
    <m/>
    <s v="Activada"/>
    <s v="No Aplica"/>
    <s v="CD Soyapango"/>
    <x v="5"/>
  </r>
  <r>
    <s v="DS00"/>
    <n v="5"/>
    <n v="2026"/>
    <s v="Contratista"/>
    <s v="W00190"/>
    <n v="3"/>
    <s v="DS0020"/>
    <s v="GC"/>
    <m/>
    <s v="Activada"/>
    <s v="No Aplica"/>
    <s v="CD Soyapango"/>
    <x v="3"/>
  </r>
  <r>
    <s v="DS00"/>
    <n v="5"/>
    <n v="2026"/>
    <s v="Contratista"/>
    <s v="W00056"/>
    <n v="3"/>
    <s v="DS0021"/>
    <s v="GC"/>
    <m/>
    <s v="Activada"/>
    <s v="No Aplica"/>
    <s v="CD Soyapango"/>
    <x v="6"/>
  </r>
  <r>
    <s v="DS00"/>
    <n v="5"/>
    <n v="2026"/>
    <s v="Contratista"/>
    <s v="W00190"/>
    <n v="2"/>
    <s v="DS0022"/>
    <s v="GC"/>
    <m/>
    <s v="Activada"/>
    <s v="No Aplica"/>
    <s v="CD Soyapango"/>
    <x v="3"/>
  </r>
  <r>
    <s v="DS00"/>
    <n v="5"/>
    <n v="2026"/>
    <s v="Contratista"/>
    <s v="W00070"/>
    <n v="3"/>
    <s v="DS0023"/>
    <s v="GC"/>
    <m/>
    <s v="Activada"/>
    <s v="No Aplica"/>
    <s v="CD Soyapango"/>
    <x v="7"/>
  </r>
  <r>
    <s v="DS00"/>
    <n v="5"/>
    <n v="2026"/>
    <s v="Contratista"/>
    <s v="W00058"/>
    <n v="3"/>
    <s v="DS0024"/>
    <s v="GC"/>
    <m/>
    <s v="Activada"/>
    <s v="No Aplica"/>
    <s v="CD Soyapango"/>
    <x v="4"/>
  </r>
  <r>
    <s v="DS00"/>
    <n v="5"/>
    <n v="2026"/>
    <s v="Contratista"/>
    <s v="W00056"/>
    <n v="3"/>
    <s v="DS0025"/>
    <s v="GC"/>
    <m/>
    <s v="Activada"/>
    <s v="No Aplica"/>
    <s v="CD Soyapango"/>
    <x v="6"/>
  </r>
  <r>
    <s v="DS00"/>
    <n v="5"/>
    <n v="2026"/>
    <s v="Contratista"/>
    <s v="W00058"/>
    <n v="3"/>
    <s v="DS0027"/>
    <s v="GC"/>
    <m/>
    <s v="Activada"/>
    <s v="No Aplica"/>
    <s v="CD Soyapango"/>
    <x v="4"/>
  </r>
  <r>
    <s v="DS00"/>
    <n v="5"/>
    <n v="2026"/>
    <s v="Contratista"/>
    <s v="W00056"/>
    <n v="3"/>
    <s v="DS0028"/>
    <s v="GC"/>
    <m/>
    <s v="Activada"/>
    <s v="No Aplica"/>
    <s v="CD Soyapango"/>
    <x v="6"/>
  </r>
  <r>
    <s v="DS00"/>
    <n v="5"/>
    <n v="2026"/>
    <s v="Contratista"/>
    <s v="W00070"/>
    <n v="3"/>
    <s v="DS0031"/>
    <s v="GC"/>
    <m/>
    <s v="Activada"/>
    <s v="No Aplica"/>
    <s v="CD Soyapango"/>
    <x v="7"/>
  </r>
  <r>
    <s v="DS00"/>
    <n v="5"/>
    <n v="2026"/>
    <s v="LC"/>
    <s v="ILC00"/>
    <n v="2"/>
    <s v="DS0032"/>
    <s v="GC"/>
    <m/>
    <s v="Activada"/>
    <s v="No Aplica"/>
    <s v="CD Soyapango"/>
    <x v="0"/>
  </r>
  <r>
    <s v="DS00"/>
    <n v="5"/>
    <n v="2026"/>
    <s v="Contratista"/>
    <s v="W00202"/>
    <n v="3"/>
    <s v="DS0033"/>
    <s v="GC"/>
    <m/>
    <s v="Activada"/>
    <s v="No Aplica"/>
    <s v="CD Soyapango"/>
    <x v="1"/>
  </r>
  <r>
    <s v="DS00"/>
    <n v="5"/>
    <n v="2026"/>
    <s v="Contratista"/>
    <s v="W00202"/>
    <n v="3"/>
    <s v="DS0034"/>
    <s v="GC"/>
    <m/>
    <s v="Activada"/>
    <s v="No Aplica"/>
    <s v="CD Soyapango"/>
    <x v="1"/>
  </r>
  <r>
    <s v="DS00"/>
    <n v="5"/>
    <n v="2026"/>
    <s v="Contratista"/>
    <s v="W00202"/>
    <n v="3"/>
    <s v="DS0035"/>
    <s v="GC"/>
    <m/>
    <s v="Activada"/>
    <s v="No Aplica"/>
    <s v="CD Soyapango"/>
    <x v="1"/>
  </r>
  <r>
    <s v="DS00"/>
    <n v="5"/>
    <n v="2026"/>
    <s v="Contratista"/>
    <s v="W00056"/>
    <n v="2"/>
    <s v="DS0037"/>
    <s v="GC"/>
    <m/>
    <s v="Activada"/>
    <s v="No Aplica"/>
    <s v="CD Soyapango"/>
    <x v="6"/>
  </r>
  <r>
    <s v="DS00"/>
    <n v="5"/>
    <n v="2026"/>
    <s v="Contratista"/>
    <s v="W00189"/>
    <n v="3"/>
    <s v="DS0038"/>
    <s v="GC"/>
    <m/>
    <s v="Activada"/>
    <s v="No Aplica"/>
    <s v="CD Soyapango"/>
    <x v="8"/>
  </r>
  <r>
    <s v="DS00"/>
    <n v="5"/>
    <n v="2026"/>
    <s v="LC"/>
    <s v="ILC00"/>
    <n v="2"/>
    <s v="DS0039"/>
    <s v="GC"/>
    <m/>
    <s v="Activada"/>
    <s v="No Aplica"/>
    <s v="CD Soyapango"/>
    <x v="0"/>
  </r>
  <r>
    <s v="DS00"/>
    <n v="5"/>
    <n v="2026"/>
    <s v="Contratista"/>
    <s v="W00153"/>
    <n v="2"/>
    <s v="DS0040"/>
    <s v="GC"/>
    <m/>
    <s v="Activada"/>
    <s v="No Aplica"/>
    <s v="CD Soyapango"/>
    <x v="2"/>
  </r>
  <r>
    <s v="DS00"/>
    <n v="5"/>
    <n v="2026"/>
    <s v="LC 1 /PAE 1"/>
    <s v="ILC00"/>
    <n v="2"/>
    <s v="DS0041"/>
    <s v="GC"/>
    <m/>
    <s v="Activada"/>
    <s v="No Aplica"/>
    <s v="CD Soyapango"/>
    <x v="0"/>
  </r>
  <r>
    <s v="DS00"/>
    <n v="5"/>
    <n v="2026"/>
    <s v="LC 2/PAE 1"/>
    <s v="ILC00"/>
    <n v="3"/>
    <s v="DS0042"/>
    <s v="GC"/>
    <m/>
    <s v="Activada"/>
    <s v="No Aplica"/>
    <s v="CD Soyapango"/>
    <x v="0"/>
  </r>
  <r>
    <s v="DS00"/>
    <n v="5"/>
    <n v="2026"/>
    <s v="LC"/>
    <s v="ILC00"/>
    <n v="3"/>
    <s v="DS0044"/>
    <s v="GC"/>
    <m/>
    <s v="Activada"/>
    <s v="No Aplica"/>
    <s v="CD Soyapango"/>
    <x v="0"/>
  </r>
  <r>
    <s v="DS00"/>
    <n v="5"/>
    <n v="2026"/>
    <s v="PAE"/>
    <s v="W00205"/>
    <n v="3"/>
    <s v="DS0045"/>
    <s v="GC"/>
    <m/>
    <s v="Activada"/>
    <s v="No Aplica"/>
    <s v="CD Soyapango"/>
    <x v="5"/>
  </r>
  <r>
    <s v="DS00"/>
    <n v="5"/>
    <n v="2026"/>
    <s v="Contratista"/>
    <s v="W00153"/>
    <n v="2"/>
    <s v="DS0046"/>
    <s v="GC"/>
    <m/>
    <s v="Activada"/>
    <s v="No Aplica"/>
    <s v="CD Soyapango"/>
    <x v="2"/>
  </r>
  <r>
    <s v="DS00"/>
    <n v="5"/>
    <n v="2026"/>
    <s v="PAE"/>
    <s v="W00205"/>
    <n v="3"/>
    <s v="DS004H"/>
    <s v="AJ"/>
    <m/>
    <s v="Activada"/>
    <s v="No Aplica"/>
    <s v="CD Soyapango"/>
    <x v="5"/>
  </r>
  <r>
    <s v="DS00"/>
    <n v="5"/>
    <n v="2026"/>
    <s v="Contratista"/>
    <s v="W00202"/>
    <n v="3"/>
    <s v="DS0050"/>
    <s v="GC"/>
    <m/>
    <s v="Activada"/>
    <s v="No Aplica"/>
    <s v="CD Soyapango"/>
    <x v="1"/>
  </r>
  <r>
    <s v="DS00"/>
    <n v="5"/>
    <n v="2026"/>
    <s v="Contratista"/>
    <s v="W00070"/>
    <n v="3"/>
    <s v="DS0054"/>
    <s v="GC"/>
    <m/>
    <s v="Activada"/>
    <s v="No Aplica"/>
    <s v="CD Soyapango"/>
    <x v="7"/>
  </r>
  <r>
    <s v="DS00"/>
    <n v="5"/>
    <n v="2026"/>
    <s v="Contratista"/>
    <s v="W00058"/>
    <n v="3"/>
    <s v="DS0055"/>
    <s v="GC"/>
    <m/>
    <s v="Activada"/>
    <s v="No Aplica"/>
    <s v="CD Soyapango"/>
    <x v="4"/>
  </r>
  <r>
    <s v="DS00"/>
    <n v="5"/>
    <n v="2026"/>
    <s v="LC"/>
    <s v="ILC00"/>
    <n v="3"/>
    <s v="DS0056"/>
    <s v="GC"/>
    <m/>
    <s v="Activada"/>
    <s v="No Aplica"/>
    <s v="CD Soyapango"/>
    <x v="0"/>
  </r>
  <r>
    <s v="DS00"/>
    <n v="5"/>
    <n v="2026"/>
    <s v="Contratista"/>
    <s v="W00190"/>
    <n v="3"/>
    <s v="DS0058"/>
    <s v="GC"/>
    <m/>
    <s v="Activada"/>
    <s v="No Aplica"/>
    <s v="CD Soyapango"/>
    <x v="3"/>
  </r>
  <r>
    <s v="DS00"/>
    <n v="5"/>
    <n v="2026"/>
    <s v="Contratista"/>
    <s v="W00189"/>
    <n v="3"/>
    <s v="DS0059"/>
    <s v="GC"/>
    <m/>
    <s v="Activada"/>
    <s v="No Aplica"/>
    <s v="CD Soyapango"/>
    <x v="8"/>
  </r>
  <r>
    <s v="DS00"/>
    <n v="5"/>
    <n v="2026"/>
    <s v="PAE"/>
    <s v="W00205"/>
    <n v="3"/>
    <s v="DS005H"/>
    <s v="AJ"/>
    <m/>
    <s v="Activada"/>
    <s v="No Aplica"/>
    <s v="CD Soyapango"/>
    <x v="5"/>
  </r>
  <r>
    <s v="DS00"/>
    <n v="5"/>
    <n v="2026"/>
    <s v="Contratista"/>
    <s v="W00070"/>
    <n v="3"/>
    <s v="DS0061"/>
    <s v="GC"/>
    <m/>
    <s v="Activada"/>
    <s v="No Aplica"/>
    <s v="CD Soyapango"/>
    <x v="7"/>
  </r>
  <r>
    <s v="DS00"/>
    <n v="5"/>
    <n v="2026"/>
    <s v="Contratista"/>
    <s v="W00070"/>
    <n v="2"/>
    <s v="DS0062"/>
    <s v="GC"/>
    <m/>
    <s v="Activada"/>
    <s v="No Aplica"/>
    <s v="CD Soyapango"/>
    <x v="7"/>
  </r>
  <r>
    <s v="DS00"/>
    <n v="5"/>
    <n v="2026"/>
    <s v="Contratista"/>
    <s v="W00153"/>
    <n v="3"/>
    <s v="DS0064"/>
    <s v="GC"/>
    <m/>
    <s v="Activada"/>
    <s v="No Aplica"/>
    <s v="CD Soyapango"/>
    <x v="2"/>
  </r>
  <r>
    <s v="DS00"/>
    <n v="5"/>
    <n v="2026"/>
    <s v="Contratista"/>
    <s v="W00070"/>
    <n v="2"/>
    <s v="DS0066"/>
    <s v="GC"/>
    <m/>
    <s v="Activada"/>
    <s v="No Aplica"/>
    <s v="CD Soyapango"/>
    <x v="7"/>
  </r>
  <r>
    <s v="DS00"/>
    <n v="5"/>
    <n v="2026"/>
    <s v="Contratista"/>
    <s v="W00190"/>
    <n v="3"/>
    <s v="DS0067"/>
    <s v="GC"/>
    <m/>
    <s v="Activada"/>
    <s v="No Aplica"/>
    <s v="CD Soyapango"/>
    <x v="3"/>
  </r>
  <r>
    <s v="DS00"/>
    <n v="5"/>
    <n v="2026"/>
    <s v="PAE"/>
    <s v="W00205"/>
    <n v="2"/>
    <s v="DS0068"/>
    <s v="GC"/>
    <m/>
    <s v="Activada"/>
    <s v="No Aplica"/>
    <s v="CD Soyapango"/>
    <x v="5"/>
  </r>
  <r>
    <s v="DS00"/>
    <n v="5"/>
    <n v="2026"/>
    <s v="LC"/>
    <s v="ILC00"/>
    <n v="2"/>
    <s v="DS0069"/>
    <s v="GC"/>
    <m/>
    <s v="Activada"/>
    <s v="No Aplica"/>
    <s v="CD Soyapango"/>
    <x v="0"/>
  </r>
  <r>
    <s v="DS00"/>
    <n v="5"/>
    <n v="2026"/>
    <s v="PAE"/>
    <s v="W00205"/>
    <n v="3"/>
    <s v="DS006H"/>
    <s v="AJ"/>
    <m/>
    <s v="Activada"/>
    <s v="No Aplica"/>
    <s v="CD Soyapango"/>
    <x v="5"/>
  </r>
  <r>
    <s v="DS00"/>
    <n v="5"/>
    <n v="2026"/>
    <s v="LC"/>
    <s v="ILC00"/>
    <n v="2"/>
    <s v="DS0074"/>
    <s v="GC"/>
    <m/>
    <s v="Activada"/>
    <s v="No Aplica"/>
    <s v="CD Soyapango"/>
    <x v="0"/>
  </r>
  <r>
    <s v="DS00"/>
    <n v="5"/>
    <n v="2026"/>
    <s v="Contratista"/>
    <s v="W00070"/>
    <n v="2"/>
    <s v="DS0075"/>
    <s v="GC"/>
    <m/>
    <s v="Activada"/>
    <s v="No Aplica"/>
    <s v="CD Soyapango"/>
    <x v="7"/>
  </r>
  <r>
    <s v="DS00"/>
    <n v="5"/>
    <n v="2026"/>
    <s v="Contratista"/>
    <s v="W00202"/>
    <n v="3"/>
    <s v="DS0076"/>
    <s v="GC"/>
    <m/>
    <s v="Activada"/>
    <s v="No Aplica"/>
    <s v="CD Soyapango"/>
    <x v="1"/>
  </r>
  <r>
    <s v="DS00"/>
    <n v="5"/>
    <n v="2026"/>
    <s v="LC 1 /PAE 1"/>
    <s v="ILC00"/>
    <n v="2"/>
    <s v="DS0077"/>
    <s v="GC"/>
    <m/>
    <s v="Activada"/>
    <s v="No Aplica"/>
    <s v="CD Soyapango"/>
    <x v="0"/>
  </r>
  <r>
    <s v="DS00"/>
    <n v="5"/>
    <n v="2026"/>
    <s v="Contratista"/>
    <s v="W00190"/>
    <n v="3"/>
    <s v="DS0078"/>
    <s v="GC"/>
    <m/>
    <s v="Activada"/>
    <s v="No Aplica"/>
    <s v="CD Soyapango"/>
    <x v="3"/>
  </r>
  <r>
    <s v="DS00"/>
    <n v="5"/>
    <n v="2026"/>
    <s v="Contratista"/>
    <s v="W00058"/>
    <n v="3"/>
    <s v="DS0079"/>
    <s v="GC"/>
    <m/>
    <s v="Activada"/>
    <s v="No Aplica"/>
    <s v="CD Soyapango"/>
    <x v="4"/>
  </r>
  <r>
    <s v="DS00"/>
    <n v="5"/>
    <n v="2026"/>
    <s v="PAE"/>
    <s v="W00205"/>
    <n v="3"/>
    <s v="DS007H"/>
    <s v="AJ"/>
    <m/>
    <s v="Activada"/>
    <s v="No Aplica"/>
    <s v="CD Soyapango"/>
    <x v="5"/>
  </r>
  <r>
    <s v="DS00"/>
    <n v="5"/>
    <n v="2026"/>
    <s v="Contratista"/>
    <s v="W00058"/>
    <n v="3"/>
    <s v="DS0081"/>
    <s v="GC"/>
    <m/>
    <s v="Activada"/>
    <s v="No Aplica"/>
    <s v="CD Soyapango"/>
    <x v="4"/>
  </r>
  <r>
    <s v="DS00"/>
    <n v="5"/>
    <n v="2026"/>
    <s v="Contratista"/>
    <s v="W00190"/>
    <n v="3"/>
    <s v="DS0082"/>
    <s v="GC"/>
    <m/>
    <s v="Activada"/>
    <s v="No Aplica"/>
    <s v="CD Soyapango"/>
    <x v="3"/>
  </r>
  <r>
    <s v="DS00"/>
    <n v="5"/>
    <n v="2026"/>
    <s v="Contratista"/>
    <s v="W00189"/>
    <n v="3"/>
    <s v="DS0084"/>
    <s v="GC"/>
    <m/>
    <s v="Activada"/>
    <s v="No Aplica"/>
    <s v="CD Soyapango"/>
    <x v="8"/>
  </r>
  <r>
    <s v="DS00"/>
    <n v="5"/>
    <n v="2026"/>
    <s v="Contratista"/>
    <s v="W00070"/>
    <n v="3"/>
    <s v="DS0086"/>
    <s v="GC"/>
    <m/>
    <s v="Activada"/>
    <s v="No Aplica"/>
    <s v="CD Soyapango"/>
    <x v="7"/>
  </r>
  <r>
    <s v="DS00"/>
    <n v="5"/>
    <n v="2026"/>
    <s v="Contratista"/>
    <s v="W00202"/>
    <n v="3"/>
    <s v="DS0088"/>
    <s v="GC"/>
    <m/>
    <s v="Activada"/>
    <s v="No Aplica"/>
    <s v="CD Soyapango"/>
    <x v="1"/>
  </r>
  <r>
    <s v="DS00"/>
    <n v="5"/>
    <n v="2026"/>
    <s v="Contratista"/>
    <s v="W00058"/>
    <n v="3"/>
    <s v="DS0089"/>
    <s v="GC"/>
    <m/>
    <s v="Activada"/>
    <s v="No Aplica"/>
    <s v="CD Soyapango"/>
    <x v="4"/>
  </r>
  <r>
    <s v="DS00"/>
    <n v="5"/>
    <n v="2026"/>
    <s v="Contratista"/>
    <s v="W00058"/>
    <n v="3"/>
    <s v="DS0090"/>
    <s v="GC"/>
    <m/>
    <s v="Activada"/>
    <s v="No Aplica"/>
    <s v="CD Soyapango"/>
    <x v="4"/>
  </r>
  <r>
    <s v="DS00"/>
    <n v="5"/>
    <n v="2026"/>
    <s v="Contratista"/>
    <s v="W00202"/>
    <n v="3"/>
    <s v="DS0091"/>
    <s v="GC"/>
    <m/>
    <s v="Activada"/>
    <s v="No Aplica"/>
    <s v="CD Soyapango"/>
    <x v="1"/>
  </r>
  <r>
    <s v="DS00"/>
    <n v="5"/>
    <n v="2026"/>
    <s v="LC"/>
    <s v="ILC00"/>
    <n v="2"/>
    <s v="DS0092"/>
    <s v="GC"/>
    <m/>
    <s v="Activada"/>
    <s v="No Aplica"/>
    <s v="CD Soyapango"/>
    <x v="0"/>
  </r>
  <r>
    <s v="DS00"/>
    <n v="5"/>
    <n v="2026"/>
    <s v="Contratista"/>
    <s v="W00056"/>
    <n v="3"/>
    <s v="DS0095"/>
    <s v="GC"/>
    <m/>
    <s v="Activada"/>
    <s v="No Aplica"/>
    <s v="CD Soyapango"/>
    <x v="6"/>
  </r>
  <r>
    <s v="DS00"/>
    <n v="5"/>
    <n v="2026"/>
    <s v="Contratista"/>
    <s v="W00190"/>
    <n v="3"/>
    <s v="DS0097"/>
    <s v="GC"/>
    <m/>
    <s v="Activada"/>
    <s v="No Aplica"/>
    <s v="CD Soyapango"/>
    <x v="3"/>
  </r>
  <r>
    <s v="DS00"/>
    <n v="5"/>
    <n v="2026"/>
    <s v="Contratista"/>
    <s v="W00056"/>
    <n v="3"/>
    <s v="DS0099"/>
    <s v="GC"/>
    <m/>
    <s v="Activada"/>
    <s v="No Aplica"/>
    <s v="CD Soyapango"/>
    <x v="6"/>
  </r>
  <r>
    <s v="DS00"/>
    <n v="5"/>
    <n v="2026"/>
    <s v="PAE"/>
    <s v="W00205"/>
    <n v="3"/>
    <s v="DS009H"/>
    <s v="AJ"/>
    <m/>
    <s v="Activada"/>
    <s v="No Aplica"/>
    <s v="CD Soyapango"/>
    <x v="5"/>
  </r>
  <r>
    <s v="DS00"/>
    <n v="5"/>
    <n v="2026"/>
    <s v="Contratista"/>
    <s v="W00202"/>
    <n v="3"/>
    <s v="DS00A3"/>
    <s v="GC"/>
    <m/>
    <s v="Activada"/>
    <s v="No Aplica"/>
    <s v="CD Soyapango"/>
    <x v="1"/>
  </r>
  <r>
    <s v="DS00"/>
    <n v="5"/>
    <n v="2026"/>
    <s v="PAE"/>
    <s v="W00205"/>
    <n v="3"/>
    <s v="DS00B2"/>
    <s v="GC"/>
    <m/>
    <s v="Activada"/>
    <s v="No Aplica"/>
    <s v="CD Soyapango"/>
    <x v="5"/>
  </r>
  <r>
    <s v="DS00"/>
    <n v="5"/>
    <n v="2026"/>
    <s v="Contratista"/>
    <s v="W00070"/>
    <n v="3"/>
    <s v="DS00B4"/>
    <s v="GC"/>
    <m/>
    <s v="Activada"/>
    <s v="No Aplica"/>
    <s v="CD Soyapango"/>
    <x v="7"/>
  </r>
  <r>
    <s v="DS00"/>
    <n v="5"/>
    <n v="2026"/>
    <s v="PAE"/>
    <s v="W00205"/>
    <n v="3"/>
    <s v="DS00CH"/>
    <s v="AJ"/>
    <m/>
    <s v="Activada"/>
    <s v="No Aplica"/>
    <s v="CD Soyapango"/>
    <x v="5"/>
  </r>
  <r>
    <s v="DS00"/>
    <n v="5"/>
    <n v="2026"/>
    <s v="Contratista"/>
    <s v="W00058"/>
    <n v="3"/>
    <s v="DS00DD"/>
    <s v="GC"/>
    <m/>
    <s v="Activada"/>
    <s v="No Aplica"/>
    <s v="CD Soyapango"/>
    <x v="4"/>
  </r>
  <r>
    <s v="DS00"/>
    <n v="5"/>
    <n v="2026"/>
    <s v="Contratista"/>
    <s v="W00153"/>
    <n v="1"/>
    <s v="DS00DM"/>
    <s v="GC"/>
    <m/>
    <s v="Activada"/>
    <s v="No Aplica"/>
    <s v="CD Soyapango"/>
    <x v="2"/>
  </r>
  <r>
    <s v="DS00"/>
    <n v="5"/>
    <n v="2026"/>
    <s v="Contratista"/>
    <s v="W00153"/>
    <n v="3"/>
    <s v="DS00DV"/>
    <s v="GC"/>
    <m/>
    <s v="Activada"/>
    <s v="No Aplica"/>
    <s v="CD Soyapango"/>
    <x v="2"/>
  </r>
  <r>
    <s v="DS00"/>
    <n v="5"/>
    <n v="2026"/>
    <s v="PAE"/>
    <s v="W00205"/>
    <n v="3"/>
    <s v="DS00EH"/>
    <s v="AJ"/>
    <m/>
    <s v="Activada"/>
    <s v="No Aplica"/>
    <s v="CD Soyapango"/>
    <x v="5"/>
  </r>
  <r>
    <s v="DS00"/>
    <n v="5"/>
    <n v="2026"/>
    <s v="PAE"/>
    <s v="W00205"/>
    <n v="3"/>
    <s v="DS00FH"/>
    <s v="AJ"/>
    <m/>
    <s v="Activada"/>
    <s v="No Aplica"/>
    <s v="CD Soyapango"/>
    <x v="5"/>
  </r>
  <r>
    <s v="DS00"/>
    <n v="5"/>
    <n v="2026"/>
    <s v="PAE"/>
    <s v="W00205"/>
    <n v="3"/>
    <s v="DS00GH"/>
    <s v="AJ"/>
    <m/>
    <s v="Activada"/>
    <s v="No Aplica"/>
    <s v="CD Soyapango"/>
    <x v="5"/>
  </r>
  <r>
    <s v="DS00"/>
    <n v="5"/>
    <n v="2026"/>
    <s v="PAE"/>
    <s v="W00205"/>
    <n v="3"/>
    <s v="DS00H0"/>
    <s v="AJ"/>
    <m/>
    <s v="Activada"/>
    <s v="No Aplica"/>
    <s v="CD Soyapango"/>
    <x v="5"/>
  </r>
  <r>
    <s v="DS00"/>
    <n v="5"/>
    <n v="2026"/>
    <s v="PAE"/>
    <s v="W00205"/>
    <n v="3"/>
    <s v="DS00H4"/>
    <s v="AJ"/>
    <m/>
    <s v="Activada"/>
    <s v="No Aplica"/>
    <s v="CD Soyapango"/>
    <x v="5"/>
  </r>
  <r>
    <s v="DS00"/>
    <n v="5"/>
    <n v="2026"/>
    <s v="PAE"/>
    <s v="W00205"/>
    <n v="3"/>
    <s v="DS00H7"/>
    <s v="AJ"/>
    <m/>
    <s v="Activada"/>
    <s v="No Aplica"/>
    <s v="CD Soyapango"/>
    <x v="5"/>
  </r>
  <r>
    <s v="DS00"/>
    <n v="5"/>
    <n v="2026"/>
    <s v="Contratista"/>
    <s v="W00070"/>
    <n v="1"/>
    <s v="DS00T6"/>
    <s v="GC"/>
    <m/>
    <s v="Activada"/>
    <s v="No Aplica"/>
    <s v="CD Soyapango"/>
    <x v="7"/>
  </r>
  <r>
    <s v="DS00"/>
    <n v="5"/>
    <n v="2026"/>
    <s v="Contratista"/>
    <s v="W00202"/>
    <n v="1"/>
    <s v="DS00T7"/>
    <s v="GC"/>
    <m/>
    <s v="Activada"/>
    <s v="No Aplica"/>
    <s v="CD Soyapango"/>
    <x v="1"/>
  </r>
  <r>
    <s v="DS00"/>
    <n v="5"/>
    <n v="2026"/>
    <s v="Contratista"/>
    <s v="W00058"/>
    <n v="1"/>
    <s v="DS00U2"/>
    <s v="GC"/>
    <m/>
    <s v="Activada"/>
    <s v="No Aplica"/>
    <s v="CD Soyapango"/>
    <x v="4"/>
  </r>
  <r>
    <s v="DS00"/>
    <n v="5"/>
    <n v="2026"/>
    <s v="Contratista"/>
    <s v="W00153"/>
    <n v="3"/>
    <s v="DS00U7"/>
    <s v="GC"/>
    <m/>
    <s v="Activada"/>
    <s v="No Aplica"/>
    <s v="CD Soyapango"/>
    <x v="2"/>
  </r>
  <r>
    <s v="DS00"/>
    <n v="5"/>
    <n v="2026"/>
    <s v="Contratista"/>
    <s v="W00202"/>
    <n v="3"/>
    <s v="DS00DE"/>
    <s v="GC"/>
    <m/>
    <s v="Activada"/>
    <s v="No Aplica"/>
    <s v="CD Soyapango"/>
    <x v="1"/>
  </r>
  <r>
    <s v="DS00"/>
    <n v="5"/>
    <n v="2026"/>
    <s v="Contratista"/>
    <s v="W00058"/>
    <n v="3"/>
    <s v="DS0051"/>
    <s v="GC"/>
    <m/>
    <s v="Activada"/>
    <s v="No Aplica"/>
    <s v="CD Soyapango"/>
    <x v="4"/>
  </r>
  <r>
    <s v="DS00"/>
    <n v="5"/>
    <n v="2026"/>
    <s v="Contratista"/>
    <s v="W00056"/>
    <n v="3"/>
    <s v="DS00DG"/>
    <s v="GC"/>
    <m/>
    <s v="Activada"/>
    <s v="No Aplica"/>
    <s v="CD Soyapango"/>
    <x v="6"/>
  </r>
  <r>
    <s v="DS00"/>
    <n v="5"/>
    <n v="2026"/>
    <s v="Contratista"/>
    <s v="W00070"/>
    <n v="3"/>
    <s v="DS00DS"/>
    <s v="GC"/>
    <m/>
    <s v="Activada"/>
    <s v="No Aplica"/>
    <s v="CD Soyapango"/>
    <x v="7"/>
  </r>
  <r>
    <s v="DS00"/>
    <n v="5"/>
    <n v="2026"/>
    <s v="Contratista"/>
    <s v="W00153"/>
    <n v="3"/>
    <s v="DS00U5"/>
    <s v="GC"/>
    <m/>
    <s v="Activada"/>
    <s v="No Aplica"/>
    <s v="CD Soyapango"/>
    <x v="2"/>
  </r>
  <r>
    <s v="DS00"/>
    <n v="5"/>
    <n v="2026"/>
    <s v="Contratista"/>
    <s v="W00202"/>
    <n v="2"/>
    <s v="DS0036"/>
    <s v="GC"/>
    <m/>
    <s v="Activada"/>
    <s v="No Aplica"/>
    <s v="CD Soyapango"/>
    <x v="1"/>
  </r>
  <r>
    <s v="DS00"/>
    <n v="5"/>
    <n v="2026"/>
    <s v="Contratista"/>
    <s v="W00202"/>
    <n v="3"/>
    <s v="DS00DU"/>
    <s v="GC"/>
    <m/>
    <s v="Activada"/>
    <s v="No Aplica"/>
    <s v="CD Soyapango"/>
    <x v="1"/>
  </r>
  <r>
    <s v="DS00"/>
    <n v="5"/>
    <n v="2026"/>
    <s v="Contratista"/>
    <s v="W00153"/>
    <n v="3"/>
    <s v="DS0047"/>
    <s v="GC"/>
    <m/>
    <s v="Activada"/>
    <s v="No Aplica"/>
    <s v="CD Soyapango"/>
    <x v="2"/>
  </r>
  <r>
    <s v="DS00"/>
    <n v="5"/>
    <n v="2026"/>
    <s v="Contratista"/>
    <s v="W00153"/>
    <n v="3"/>
    <s v="DS0057"/>
    <s v="GC"/>
    <m/>
    <s v="Activada"/>
    <s v="No Aplica"/>
    <s v="CD Soyapango"/>
    <x v="2"/>
  </r>
  <r>
    <s v="DS00"/>
    <n v="5"/>
    <n v="2026"/>
    <s v="Contratista"/>
    <s v="W00153"/>
    <n v="3"/>
    <s v="DS0015"/>
    <s v="GC"/>
    <m/>
    <s v="Activada"/>
    <s v="No Aplica"/>
    <s v="CD Soyapang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3ACF9-F271-4C40-834F-E1F7FC9F85B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0">
        <item x="7"/>
        <item x="1"/>
        <item x="8"/>
        <item x="6"/>
        <item x="0"/>
        <item x="5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0">
    <i>
      <x v="5"/>
    </i>
    <i>
      <x v="1"/>
    </i>
    <i>
      <x v="8"/>
    </i>
    <i>
      <x v="4"/>
    </i>
    <i>
      <x v="7"/>
    </i>
    <i>
      <x/>
    </i>
    <i>
      <x v="3"/>
    </i>
    <i>
      <x v="6"/>
    </i>
    <i>
      <x v="2"/>
    </i>
    <i t="grand">
      <x/>
    </i>
  </rowItems>
  <colItems count="1">
    <i/>
  </colItems>
  <dataFields count="1">
    <dataField name="Cuenta de Código rut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0252B-C535-43D4-A861-10DA337864E6}" name="Tabla1" displayName="Tabla1" ref="A1:G22" totalsRowShown="0" headerRowDxfId="12" dataDxfId="10" headerRowBorderDxfId="11" tableBorderDxfId="9">
  <tableColumns count="7">
    <tableColumn id="1" xr3:uid="{4E918AB3-1B52-46A9-A6E6-619A0EAD1963}" name="Rutas desactivadas" dataDxfId="8"/>
    <tableColumn id="2" xr3:uid="{28D4F22B-117C-4388-B7BD-70C31C78A399}" name="Estatus" dataDxfId="7"/>
    <tableColumn id="3" xr3:uid="{1AD05FAD-8FCA-4043-A87E-F11675967008}" name="Tripulación" dataDxfId="6"/>
    <tableColumn id="4" xr3:uid="{3C4F2374-B2F6-447E-896D-224D639874B5}" name="Comentario" dataDxfId="5"/>
    <tableColumn id="5" xr3:uid="{FB3BF9A9-F2ED-4387-BCA1-4B52CC3EE92B}" name="MAVI" dataDxfId="4"/>
    <tableColumn id="6" xr3:uid="{ECF75584-D981-407E-9EC8-C2CB7E79BE83}" name="LUJU" dataDxfId="3"/>
    <tableColumn id="7" xr3:uid="{5AF75610-3B78-43C8-842C-6B4EB96284CA}" name="MIS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DA21-405F-4F54-8F8E-ECC222BC2354}">
  <dimension ref="A3:E15"/>
  <sheetViews>
    <sheetView workbookViewId="0">
      <selection activeCell="E15" sqref="E15"/>
    </sheetView>
  </sheetViews>
  <sheetFormatPr baseColWidth="10" defaultColWidth="11.453125" defaultRowHeight="14.5" x14ac:dyDescent="0.35"/>
  <cols>
    <col min="1" max="1" width="37.26953125" bestFit="1" customWidth="1"/>
    <col min="2" max="2" width="23.7265625" bestFit="1" customWidth="1"/>
  </cols>
  <sheetData>
    <row r="3" spans="1:5" x14ac:dyDescent="0.35">
      <c r="A3" s="28" t="s">
        <v>0</v>
      </c>
      <c r="B3" t="s">
        <v>1</v>
      </c>
    </row>
    <row r="4" spans="1:5" x14ac:dyDescent="0.35">
      <c r="A4" s="29" t="s">
        <v>2</v>
      </c>
      <c r="B4">
        <v>17</v>
      </c>
    </row>
    <row r="5" spans="1:5" x14ac:dyDescent="0.35">
      <c r="A5" s="29" t="s">
        <v>3</v>
      </c>
      <c r="B5">
        <v>15</v>
      </c>
    </row>
    <row r="6" spans="1:5" x14ac:dyDescent="0.35">
      <c r="A6" s="29" t="s">
        <v>4</v>
      </c>
      <c r="B6">
        <v>13</v>
      </c>
    </row>
    <row r="7" spans="1:5" x14ac:dyDescent="0.35">
      <c r="A7" s="29" t="s">
        <v>5</v>
      </c>
      <c r="B7">
        <v>13</v>
      </c>
    </row>
    <row r="8" spans="1:5" x14ac:dyDescent="0.35">
      <c r="A8" s="29" t="s">
        <v>6</v>
      </c>
      <c r="B8">
        <v>12</v>
      </c>
    </row>
    <row r="9" spans="1:5" x14ac:dyDescent="0.35">
      <c r="A9" s="29" t="s">
        <v>7</v>
      </c>
      <c r="B9">
        <v>11</v>
      </c>
    </row>
    <row r="10" spans="1:5" x14ac:dyDescent="0.35">
      <c r="A10" s="29" t="s">
        <v>8</v>
      </c>
      <c r="B10">
        <v>8</v>
      </c>
    </row>
    <row r="11" spans="1:5" x14ac:dyDescent="0.35">
      <c r="A11" s="29" t="s">
        <v>9</v>
      </c>
      <c r="B11">
        <v>8</v>
      </c>
    </row>
    <row r="12" spans="1:5" x14ac:dyDescent="0.35">
      <c r="A12" s="29" t="s">
        <v>10</v>
      </c>
      <c r="B12">
        <v>3</v>
      </c>
    </row>
    <row r="13" spans="1:5" x14ac:dyDescent="0.35">
      <c r="A13" s="29" t="s">
        <v>11</v>
      </c>
      <c r="B13">
        <v>100</v>
      </c>
      <c r="E13">
        <v>108</v>
      </c>
    </row>
    <row r="14" spans="1:5" x14ac:dyDescent="0.35">
      <c r="E14">
        <v>86</v>
      </c>
    </row>
    <row r="15" spans="1:5" x14ac:dyDescent="0.35">
      <c r="E15">
        <f>E13-E14</f>
        <v>22</v>
      </c>
    </row>
  </sheetData>
  <autoFilter ref="A3:B13" xr:uid="{103BDA21-405F-4F54-8F8E-ECC222BC23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B217-A022-4A14-8604-C3379B0EF06F}">
  <dimension ref="A1:M101"/>
  <sheetViews>
    <sheetView topLeftCell="A81" workbookViewId="0">
      <selection sqref="A1:M101"/>
    </sheetView>
  </sheetViews>
  <sheetFormatPr baseColWidth="10" defaultColWidth="11.453125" defaultRowHeight="14.5" x14ac:dyDescent="0.35"/>
  <cols>
    <col min="2" max="2" width="10.81640625" bestFit="1" customWidth="1"/>
    <col min="3" max="3" width="10.81640625" customWidth="1"/>
    <col min="4" max="4" width="8.7265625" bestFit="1" customWidth="1"/>
    <col min="5" max="5" width="8.81640625" bestFit="1" customWidth="1"/>
    <col min="6" max="6" width="9.453125" bestFit="1" customWidth="1"/>
    <col min="7" max="7" width="9" bestFit="1" customWidth="1"/>
    <col min="8" max="8" width="7.7265625" bestFit="1" customWidth="1"/>
    <col min="9" max="9" width="10.26953125" hidden="1" customWidth="1"/>
    <col min="10" max="10" width="8.7265625" hidden="1" customWidth="1"/>
    <col min="11" max="11" width="7.26953125" bestFit="1" customWidth="1"/>
    <col min="12" max="12" width="13.54296875" bestFit="1" customWidth="1"/>
    <col min="13" max="13" width="37.26953125" bestFit="1" customWidth="1"/>
  </cols>
  <sheetData>
    <row r="1" spans="1:13" ht="3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2" t="s">
        <v>23</v>
      </c>
      <c r="M1" s="2" t="s">
        <v>24</v>
      </c>
    </row>
    <row r="2" spans="1:13" x14ac:dyDescent="0.35">
      <c r="A2" s="3" t="s">
        <v>25</v>
      </c>
      <c r="B2" s="3">
        <v>5</v>
      </c>
      <c r="C2" s="3">
        <v>2026</v>
      </c>
      <c r="D2" s="4" t="s">
        <v>26</v>
      </c>
      <c r="E2" s="4" t="s">
        <v>27</v>
      </c>
      <c r="F2" s="4">
        <v>2</v>
      </c>
      <c r="G2" s="4" t="s">
        <v>28</v>
      </c>
      <c r="H2" s="4" t="s">
        <v>29</v>
      </c>
      <c r="I2" s="4"/>
      <c r="J2" s="4" t="s">
        <v>30</v>
      </c>
      <c r="K2" s="4" t="s">
        <v>31</v>
      </c>
      <c r="L2" s="5" t="s">
        <v>32</v>
      </c>
      <c r="M2" s="5" t="s">
        <v>5</v>
      </c>
    </row>
    <row r="3" spans="1:13" x14ac:dyDescent="0.35">
      <c r="A3" s="7" t="s">
        <v>25</v>
      </c>
      <c r="B3" s="3">
        <v>5</v>
      </c>
      <c r="C3" s="7">
        <v>2026</v>
      </c>
      <c r="D3" s="8" t="s">
        <v>26</v>
      </c>
      <c r="E3" s="8" t="s">
        <v>27</v>
      </c>
      <c r="F3" s="8">
        <v>2</v>
      </c>
      <c r="G3" s="8" t="s">
        <v>33</v>
      </c>
      <c r="H3" s="8" t="s">
        <v>29</v>
      </c>
      <c r="I3" s="8"/>
      <c r="J3" s="8" t="s">
        <v>30</v>
      </c>
      <c r="K3" s="8" t="s">
        <v>31</v>
      </c>
      <c r="L3" s="9" t="s">
        <v>32</v>
      </c>
      <c r="M3" s="9" t="s">
        <v>5</v>
      </c>
    </row>
    <row r="4" spans="1:13" x14ac:dyDescent="0.35">
      <c r="A4" s="3" t="s">
        <v>25</v>
      </c>
      <c r="B4" s="3">
        <v>5</v>
      </c>
      <c r="C4" s="3">
        <v>2026</v>
      </c>
      <c r="D4" s="4" t="s">
        <v>34</v>
      </c>
      <c r="E4" s="4" t="s">
        <v>35</v>
      </c>
      <c r="F4" s="4">
        <v>3</v>
      </c>
      <c r="G4" s="4" t="s">
        <v>36</v>
      </c>
      <c r="H4" s="4" t="s">
        <v>29</v>
      </c>
      <c r="I4" s="4"/>
      <c r="J4" s="4" t="s">
        <v>30</v>
      </c>
      <c r="K4" s="4" t="s">
        <v>31</v>
      </c>
      <c r="L4" s="5" t="s">
        <v>32</v>
      </c>
      <c r="M4" s="5" t="s">
        <v>3</v>
      </c>
    </row>
    <row r="5" spans="1:13" x14ac:dyDescent="0.35">
      <c r="A5" s="7" t="s">
        <v>25</v>
      </c>
      <c r="B5" s="3">
        <v>5</v>
      </c>
      <c r="C5" s="7">
        <v>2026</v>
      </c>
      <c r="D5" s="8" t="s">
        <v>34</v>
      </c>
      <c r="E5" s="8" t="s">
        <v>37</v>
      </c>
      <c r="F5" s="8">
        <v>3</v>
      </c>
      <c r="G5" s="8" t="s">
        <v>38</v>
      </c>
      <c r="H5" s="8" t="s">
        <v>29</v>
      </c>
      <c r="I5" s="8"/>
      <c r="J5" s="8" t="s">
        <v>30</v>
      </c>
      <c r="K5" s="8" t="s">
        <v>31</v>
      </c>
      <c r="L5" s="9" t="s">
        <v>32</v>
      </c>
      <c r="M5" s="9" t="s">
        <v>6</v>
      </c>
    </row>
    <row r="6" spans="1:13" x14ac:dyDescent="0.35">
      <c r="A6" s="3" t="s">
        <v>25</v>
      </c>
      <c r="B6" s="3">
        <v>5</v>
      </c>
      <c r="C6" s="3">
        <v>2026</v>
      </c>
      <c r="D6" s="4" t="s">
        <v>34</v>
      </c>
      <c r="E6" s="4" t="s">
        <v>39</v>
      </c>
      <c r="F6" s="4">
        <v>2</v>
      </c>
      <c r="G6" s="4" t="s">
        <v>40</v>
      </c>
      <c r="H6" s="4" t="s">
        <v>29</v>
      </c>
      <c r="I6" s="4"/>
      <c r="J6" s="4" t="s">
        <v>30</v>
      </c>
      <c r="K6" s="4" t="s">
        <v>31</v>
      </c>
      <c r="L6" s="5" t="s">
        <v>32</v>
      </c>
      <c r="M6" s="5" t="s">
        <v>9</v>
      </c>
    </row>
    <row r="7" spans="1:13" x14ac:dyDescent="0.35">
      <c r="A7" s="7" t="s">
        <v>25</v>
      </c>
      <c r="B7" s="3">
        <v>5</v>
      </c>
      <c r="C7" s="7">
        <v>2026</v>
      </c>
      <c r="D7" s="8" t="s">
        <v>34</v>
      </c>
      <c r="E7" s="8" t="s">
        <v>41</v>
      </c>
      <c r="F7" s="8">
        <v>2</v>
      </c>
      <c r="G7" s="8" t="s">
        <v>42</v>
      </c>
      <c r="H7" s="8" t="s">
        <v>29</v>
      </c>
      <c r="I7" s="8"/>
      <c r="J7" s="8" t="s">
        <v>30</v>
      </c>
      <c r="K7" s="8" t="s">
        <v>31</v>
      </c>
      <c r="L7" s="9" t="s">
        <v>32</v>
      </c>
      <c r="M7" s="9" t="s">
        <v>4</v>
      </c>
    </row>
    <row r="8" spans="1:13" x14ac:dyDescent="0.35">
      <c r="A8" s="3" t="s">
        <v>25</v>
      </c>
      <c r="B8" s="3">
        <v>5</v>
      </c>
      <c r="C8" s="3">
        <v>2026</v>
      </c>
      <c r="D8" s="4" t="s">
        <v>34</v>
      </c>
      <c r="E8" s="4" t="s">
        <v>37</v>
      </c>
      <c r="F8" s="4">
        <v>3</v>
      </c>
      <c r="G8" s="4" t="s">
        <v>43</v>
      </c>
      <c r="H8" s="4" t="s">
        <v>29</v>
      </c>
      <c r="I8" s="4"/>
      <c r="J8" s="4" t="s">
        <v>30</v>
      </c>
      <c r="K8" s="4" t="s">
        <v>31</v>
      </c>
      <c r="L8" s="5" t="s">
        <v>32</v>
      </c>
      <c r="M8" s="5" t="s">
        <v>6</v>
      </c>
    </row>
    <row r="9" spans="1:13" x14ac:dyDescent="0.35">
      <c r="A9" s="7" t="s">
        <v>25</v>
      </c>
      <c r="B9" s="3">
        <v>5</v>
      </c>
      <c r="C9" s="7">
        <v>2026</v>
      </c>
      <c r="D9" s="8" t="s">
        <v>34</v>
      </c>
      <c r="E9" s="8" t="s">
        <v>41</v>
      </c>
      <c r="F9" s="8">
        <v>2</v>
      </c>
      <c r="G9" s="8" t="s">
        <v>44</v>
      </c>
      <c r="H9" s="8" t="s">
        <v>29</v>
      </c>
      <c r="I9" s="8"/>
      <c r="J9" s="8" t="s">
        <v>30</v>
      </c>
      <c r="K9" s="8" t="s">
        <v>31</v>
      </c>
      <c r="L9" s="9" t="s">
        <v>32</v>
      </c>
      <c r="M9" s="9" t="s">
        <v>4</v>
      </c>
    </row>
    <row r="10" spans="1:13" x14ac:dyDescent="0.35">
      <c r="A10" s="3" t="s">
        <v>25</v>
      </c>
      <c r="B10" s="3">
        <v>5</v>
      </c>
      <c r="C10" s="3">
        <v>2026</v>
      </c>
      <c r="D10" s="4" t="s">
        <v>45</v>
      </c>
      <c r="E10" s="4" t="s">
        <v>46</v>
      </c>
      <c r="F10" s="4">
        <v>3</v>
      </c>
      <c r="G10" s="4" t="s">
        <v>47</v>
      </c>
      <c r="H10" s="4" t="s">
        <v>48</v>
      </c>
      <c r="I10" s="4"/>
      <c r="J10" s="4" t="s">
        <v>30</v>
      </c>
      <c r="K10" s="4" t="s">
        <v>31</v>
      </c>
      <c r="L10" s="5" t="s">
        <v>32</v>
      </c>
      <c r="M10" s="5" t="s">
        <v>2</v>
      </c>
    </row>
    <row r="11" spans="1:13" x14ac:dyDescent="0.35">
      <c r="A11" s="7" t="s">
        <v>25</v>
      </c>
      <c r="B11" s="3">
        <v>5</v>
      </c>
      <c r="C11" s="7">
        <v>2026</v>
      </c>
      <c r="D11" s="8" t="s">
        <v>34</v>
      </c>
      <c r="E11" s="8" t="s">
        <v>49</v>
      </c>
      <c r="F11" s="8">
        <v>2</v>
      </c>
      <c r="G11" s="8" t="s">
        <v>50</v>
      </c>
      <c r="H11" s="8" t="s">
        <v>29</v>
      </c>
      <c r="I11" s="8"/>
      <c r="J11" s="8" t="s">
        <v>30</v>
      </c>
      <c r="K11" s="8" t="s">
        <v>31</v>
      </c>
      <c r="L11" s="9" t="s">
        <v>32</v>
      </c>
      <c r="M11" s="9" t="s">
        <v>8</v>
      </c>
    </row>
    <row r="12" spans="1:13" x14ac:dyDescent="0.35">
      <c r="A12" s="3" t="s">
        <v>25</v>
      </c>
      <c r="B12" s="3">
        <v>5</v>
      </c>
      <c r="C12" s="3">
        <v>2026</v>
      </c>
      <c r="D12" s="4" t="s">
        <v>34</v>
      </c>
      <c r="E12" s="4" t="s">
        <v>41</v>
      </c>
      <c r="F12" s="4">
        <v>3</v>
      </c>
      <c r="G12" s="4" t="s">
        <v>51</v>
      </c>
      <c r="H12" s="4" t="s">
        <v>29</v>
      </c>
      <c r="I12" s="4"/>
      <c r="J12" s="4" t="s">
        <v>30</v>
      </c>
      <c r="K12" s="4" t="s">
        <v>31</v>
      </c>
      <c r="L12" s="5" t="s">
        <v>32</v>
      </c>
      <c r="M12" s="5" t="s">
        <v>4</v>
      </c>
    </row>
    <row r="13" spans="1:13" x14ac:dyDescent="0.35">
      <c r="A13" s="7" t="s">
        <v>25</v>
      </c>
      <c r="B13" s="3">
        <v>5</v>
      </c>
      <c r="C13" s="7">
        <v>2026</v>
      </c>
      <c r="D13" s="8" t="s">
        <v>34</v>
      </c>
      <c r="E13" s="8" t="s">
        <v>35</v>
      </c>
      <c r="F13" s="8">
        <v>3</v>
      </c>
      <c r="G13" s="8" t="s">
        <v>52</v>
      </c>
      <c r="H13" s="8" t="s">
        <v>29</v>
      </c>
      <c r="I13" s="8"/>
      <c r="J13" s="8" t="s">
        <v>30</v>
      </c>
      <c r="K13" s="8" t="s">
        <v>31</v>
      </c>
      <c r="L13" s="9" t="s">
        <v>32</v>
      </c>
      <c r="M13" s="9" t="s">
        <v>3</v>
      </c>
    </row>
    <row r="14" spans="1:13" x14ac:dyDescent="0.35">
      <c r="A14" s="3" t="s">
        <v>25</v>
      </c>
      <c r="B14" s="3">
        <v>5</v>
      </c>
      <c r="C14" s="3">
        <v>2026</v>
      </c>
      <c r="D14" s="4" t="s">
        <v>53</v>
      </c>
      <c r="E14" s="4" t="s">
        <v>27</v>
      </c>
      <c r="F14" s="4">
        <v>3</v>
      </c>
      <c r="G14" s="4" t="s">
        <v>54</v>
      </c>
      <c r="H14" s="4" t="s">
        <v>29</v>
      </c>
      <c r="I14" s="4"/>
      <c r="J14" s="4" t="s">
        <v>30</v>
      </c>
      <c r="K14" s="4" t="s">
        <v>31</v>
      </c>
      <c r="L14" s="5" t="s">
        <v>32</v>
      </c>
      <c r="M14" s="5" t="s">
        <v>5</v>
      </c>
    </row>
    <row r="15" spans="1:13" x14ac:dyDescent="0.35">
      <c r="A15" s="7" t="s">
        <v>25</v>
      </c>
      <c r="B15" s="3">
        <v>5</v>
      </c>
      <c r="C15" s="7">
        <v>2026</v>
      </c>
      <c r="D15" s="8" t="s">
        <v>34</v>
      </c>
      <c r="E15" s="8" t="s">
        <v>35</v>
      </c>
      <c r="F15" s="8">
        <v>3</v>
      </c>
      <c r="G15" s="8" t="s">
        <v>55</v>
      </c>
      <c r="H15" s="8" t="s">
        <v>29</v>
      </c>
      <c r="I15" s="8"/>
      <c r="J15" s="8" t="s">
        <v>30</v>
      </c>
      <c r="K15" s="8" t="s">
        <v>31</v>
      </c>
      <c r="L15" s="9" t="s">
        <v>32</v>
      </c>
      <c r="M15" s="9" t="s">
        <v>3</v>
      </c>
    </row>
    <row r="16" spans="1:13" x14ac:dyDescent="0.35">
      <c r="A16" s="3" t="s">
        <v>25</v>
      </c>
      <c r="B16" s="3">
        <v>5</v>
      </c>
      <c r="C16" s="3">
        <v>2026</v>
      </c>
      <c r="D16" s="4" t="s">
        <v>45</v>
      </c>
      <c r="E16" s="4" t="s">
        <v>46</v>
      </c>
      <c r="F16" s="4">
        <v>3</v>
      </c>
      <c r="G16" s="4" t="s">
        <v>56</v>
      </c>
      <c r="H16" s="4" t="s">
        <v>48</v>
      </c>
      <c r="I16" s="4"/>
      <c r="J16" s="4" t="s">
        <v>30</v>
      </c>
      <c r="K16" s="4" t="s">
        <v>31</v>
      </c>
      <c r="L16" s="5" t="s">
        <v>32</v>
      </c>
      <c r="M16" s="5" t="s">
        <v>2</v>
      </c>
    </row>
    <row r="17" spans="1:13" x14ac:dyDescent="0.35">
      <c r="A17" s="7" t="s">
        <v>25</v>
      </c>
      <c r="B17" s="3">
        <v>5</v>
      </c>
      <c r="C17" s="7">
        <v>2026</v>
      </c>
      <c r="D17" s="8" t="s">
        <v>34</v>
      </c>
      <c r="E17" s="8" t="s">
        <v>39</v>
      </c>
      <c r="F17" s="8">
        <v>3</v>
      </c>
      <c r="G17" s="8" t="s">
        <v>57</v>
      </c>
      <c r="H17" s="8" t="s">
        <v>29</v>
      </c>
      <c r="I17" s="8"/>
      <c r="J17" s="8" t="s">
        <v>30</v>
      </c>
      <c r="K17" s="8" t="s">
        <v>31</v>
      </c>
      <c r="L17" s="9" t="s">
        <v>32</v>
      </c>
      <c r="M17" s="9" t="s">
        <v>9</v>
      </c>
    </row>
    <row r="18" spans="1:13" x14ac:dyDescent="0.35">
      <c r="A18" s="3" t="s">
        <v>25</v>
      </c>
      <c r="B18" s="3">
        <v>5</v>
      </c>
      <c r="C18" s="3">
        <v>2026</v>
      </c>
      <c r="D18" s="4" t="s">
        <v>34</v>
      </c>
      <c r="E18" s="4" t="s">
        <v>49</v>
      </c>
      <c r="F18" s="4">
        <v>3</v>
      </c>
      <c r="G18" s="4" t="s">
        <v>58</v>
      </c>
      <c r="H18" s="4" t="s">
        <v>29</v>
      </c>
      <c r="I18" s="4"/>
      <c r="J18" s="4" t="s">
        <v>30</v>
      </c>
      <c r="K18" s="4" t="s">
        <v>31</v>
      </c>
      <c r="L18" s="5" t="s">
        <v>32</v>
      </c>
      <c r="M18" s="5" t="s">
        <v>8</v>
      </c>
    </row>
    <row r="19" spans="1:13" x14ac:dyDescent="0.35">
      <c r="A19" s="7" t="s">
        <v>25</v>
      </c>
      <c r="B19" s="3">
        <v>5</v>
      </c>
      <c r="C19" s="7">
        <v>2026</v>
      </c>
      <c r="D19" s="8" t="s">
        <v>34</v>
      </c>
      <c r="E19" s="8" t="s">
        <v>39</v>
      </c>
      <c r="F19" s="8">
        <v>2</v>
      </c>
      <c r="G19" s="8" t="s">
        <v>59</v>
      </c>
      <c r="H19" s="8" t="s">
        <v>29</v>
      </c>
      <c r="I19" s="8"/>
      <c r="J19" s="8" t="s">
        <v>30</v>
      </c>
      <c r="K19" s="8" t="s">
        <v>31</v>
      </c>
      <c r="L19" s="9" t="s">
        <v>32</v>
      </c>
      <c r="M19" s="9" t="s">
        <v>9</v>
      </c>
    </row>
    <row r="20" spans="1:13" x14ac:dyDescent="0.35">
      <c r="A20" s="3" t="s">
        <v>25</v>
      </c>
      <c r="B20" s="3">
        <v>5</v>
      </c>
      <c r="C20" s="3">
        <v>2026</v>
      </c>
      <c r="D20" s="4" t="s">
        <v>34</v>
      </c>
      <c r="E20" s="4" t="s">
        <v>60</v>
      </c>
      <c r="F20" s="4">
        <v>3</v>
      </c>
      <c r="G20" s="4" t="s">
        <v>61</v>
      </c>
      <c r="H20" s="4" t="s">
        <v>29</v>
      </c>
      <c r="I20" s="4"/>
      <c r="J20" s="4" t="s">
        <v>30</v>
      </c>
      <c r="K20" s="4" t="s">
        <v>31</v>
      </c>
      <c r="L20" s="5" t="s">
        <v>32</v>
      </c>
      <c r="M20" s="5" t="s">
        <v>7</v>
      </c>
    </row>
    <row r="21" spans="1:13" x14ac:dyDescent="0.35">
      <c r="A21" s="7" t="s">
        <v>25</v>
      </c>
      <c r="B21" s="3">
        <v>5</v>
      </c>
      <c r="C21" s="7">
        <v>2026</v>
      </c>
      <c r="D21" s="8" t="s">
        <v>34</v>
      </c>
      <c r="E21" s="8" t="s">
        <v>41</v>
      </c>
      <c r="F21" s="8">
        <v>3</v>
      </c>
      <c r="G21" s="8" t="s">
        <v>62</v>
      </c>
      <c r="H21" s="8" t="s">
        <v>29</v>
      </c>
      <c r="I21" s="8"/>
      <c r="J21" s="8" t="s">
        <v>30</v>
      </c>
      <c r="K21" s="8" t="s">
        <v>31</v>
      </c>
      <c r="L21" s="9" t="s">
        <v>32</v>
      </c>
      <c r="M21" s="9" t="s">
        <v>4</v>
      </c>
    </row>
    <row r="22" spans="1:13" x14ac:dyDescent="0.35">
      <c r="A22" s="3" t="s">
        <v>25</v>
      </c>
      <c r="B22" s="3">
        <v>5</v>
      </c>
      <c r="C22" s="3">
        <v>2026</v>
      </c>
      <c r="D22" s="4" t="s">
        <v>34</v>
      </c>
      <c r="E22" s="4" t="s">
        <v>49</v>
      </c>
      <c r="F22" s="4">
        <v>3</v>
      </c>
      <c r="G22" s="4" t="s">
        <v>63</v>
      </c>
      <c r="H22" s="4" t="s">
        <v>29</v>
      </c>
      <c r="I22" s="4"/>
      <c r="J22" s="4" t="s">
        <v>30</v>
      </c>
      <c r="K22" s="4" t="s">
        <v>31</v>
      </c>
      <c r="L22" s="5" t="s">
        <v>32</v>
      </c>
      <c r="M22" s="5" t="s">
        <v>8</v>
      </c>
    </row>
    <row r="23" spans="1:13" x14ac:dyDescent="0.35">
      <c r="A23" s="7" t="s">
        <v>25</v>
      </c>
      <c r="B23" s="3">
        <v>5</v>
      </c>
      <c r="C23" s="7">
        <v>2026</v>
      </c>
      <c r="D23" s="8" t="s">
        <v>34</v>
      </c>
      <c r="E23" s="8" t="s">
        <v>41</v>
      </c>
      <c r="F23" s="8">
        <v>3</v>
      </c>
      <c r="G23" s="8" t="s">
        <v>64</v>
      </c>
      <c r="H23" s="8" t="s">
        <v>29</v>
      </c>
      <c r="I23" s="8"/>
      <c r="J23" s="8" t="s">
        <v>30</v>
      </c>
      <c r="K23" s="8" t="s">
        <v>31</v>
      </c>
      <c r="L23" s="9" t="s">
        <v>32</v>
      </c>
      <c r="M23" s="9" t="s">
        <v>4</v>
      </c>
    </row>
    <row r="24" spans="1:13" x14ac:dyDescent="0.35">
      <c r="A24" s="3" t="s">
        <v>25</v>
      </c>
      <c r="B24" s="3">
        <v>5</v>
      </c>
      <c r="C24" s="3">
        <v>2026</v>
      </c>
      <c r="D24" s="4" t="s">
        <v>34</v>
      </c>
      <c r="E24" s="4" t="s">
        <v>49</v>
      </c>
      <c r="F24" s="4">
        <v>3</v>
      </c>
      <c r="G24" s="4" t="s">
        <v>65</v>
      </c>
      <c r="H24" s="4" t="s">
        <v>29</v>
      </c>
      <c r="I24" s="4"/>
      <c r="J24" s="4" t="s">
        <v>30</v>
      </c>
      <c r="K24" s="4" t="s">
        <v>31</v>
      </c>
      <c r="L24" s="5" t="s">
        <v>32</v>
      </c>
      <c r="M24" s="5" t="s">
        <v>8</v>
      </c>
    </row>
    <row r="25" spans="1:13" x14ac:dyDescent="0.35">
      <c r="A25" s="3" t="s">
        <v>25</v>
      </c>
      <c r="B25" s="3">
        <v>5</v>
      </c>
      <c r="C25" s="3">
        <v>2026</v>
      </c>
      <c r="D25" s="4" t="s">
        <v>34</v>
      </c>
      <c r="E25" s="4" t="s">
        <v>60</v>
      </c>
      <c r="F25" s="4">
        <v>3</v>
      </c>
      <c r="G25" s="4" t="s">
        <v>66</v>
      </c>
      <c r="H25" s="4" t="s">
        <v>29</v>
      </c>
      <c r="I25" s="4"/>
      <c r="J25" s="4" t="s">
        <v>30</v>
      </c>
      <c r="K25" s="4" t="s">
        <v>31</v>
      </c>
      <c r="L25" s="5" t="s">
        <v>32</v>
      </c>
      <c r="M25" s="5" t="s">
        <v>7</v>
      </c>
    </row>
    <row r="26" spans="1:13" x14ac:dyDescent="0.35">
      <c r="A26" s="7" t="s">
        <v>25</v>
      </c>
      <c r="B26" s="3">
        <v>5</v>
      </c>
      <c r="C26" s="7">
        <v>2026</v>
      </c>
      <c r="D26" s="8" t="s">
        <v>67</v>
      </c>
      <c r="E26" s="8" t="s">
        <v>27</v>
      </c>
      <c r="F26" s="8">
        <v>2</v>
      </c>
      <c r="G26" s="8" t="s">
        <v>68</v>
      </c>
      <c r="H26" s="8" t="s">
        <v>29</v>
      </c>
      <c r="I26" s="8"/>
      <c r="J26" s="8" t="s">
        <v>30</v>
      </c>
      <c r="K26" s="8" t="s">
        <v>31</v>
      </c>
      <c r="L26" s="9" t="s">
        <v>32</v>
      </c>
      <c r="M26" s="9" t="s">
        <v>5</v>
      </c>
    </row>
    <row r="27" spans="1:13" x14ac:dyDescent="0.35">
      <c r="A27" s="3" t="s">
        <v>25</v>
      </c>
      <c r="B27" s="3">
        <v>5</v>
      </c>
      <c r="C27" s="3">
        <v>2026</v>
      </c>
      <c r="D27" s="4" t="s">
        <v>34</v>
      </c>
      <c r="E27" s="4" t="s">
        <v>35</v>
      </c>
      <c r="F27" s="4">
        <v>3</v>
      </c>
      <c r="G27" s="4" t="s">
        <v>69</v>
      </c>
      <c r="H27" s="4" t="s">
        <v>29</v>
      </c>
      <c r="I27" s="4"/>
      <c r="J27" s="4" t="s">
        <v>30</v>
      </c>
      <c r="K27" s="4" t="s">
        <v>31</v>
      </c>
      <c r="L27" s="5" t="s">
        <v>32</v>
      </c>
      <c r="M27" s="5" t="s">
        <v>3</v>
      </c>
    </row>
    <row r="28" spans="1:13" x14ac:dyDescent="0.35">
      <c r="A28" s="7" t="s">
        <v>25</v>
      </c>
      <c r="B28" s="3">
        <v>5</v>
      </c>
      <c r="C28" s="7">
        <v>2026</v>
      </c>
      <c r="D28" s="8" t="s">
        <v>34</v>
      </c>
      <c r="E28" s="8" t="s">
        <v>35</v>
      </c>
      <c r="F28" s="8">
        <v>3</v>
      </c>
      <c r="G28" s="8" t="s">
        <v>70</v>
      </c>
      <c r="H28" s="8" t="s">
        <v>29</v>
      </c>
      <c r="I28" s="8"/>
      <c r="J28" s="8" t="s">
        <v>30</v>
      </c>
      <c r="K28" s="8" t="s">
        <v>31</v>
      </c>
      <c r="L28" s="9" t="s">
        <v>32</v>
      </c>
      <c r="M28" s="9" t="s">
        <v>3</v>
      </c>
    </row>
    <row r="29" spans="1:13" x14ac:dyDescent="0.35">
      <c r="A29" s="3" t="s">
        <v>25</v>
      </c>
      <c r="B29" s="3">
        <v>5</v>
      </c>
      <c r="C29" s="3">
        <v>2026</v>
      </c>
      <c r="D29" s="4" t="s">
        <v>34</v>
      </c>
      <c r="E29" s="4" t="s">
        <v>35</v>
      </c>
      <c r="F29" s="4">
        <v>3</v>
      </c>
      <c r="G29" s="4" t="s">
        <v>71</v>
      </c>
      <c r="H29" s="4" t="s">
        <v>29</v>
      </c>
      <c r="I29" s="4"/>
      <c r="J29" s="4" t="s">
        <v>30</v>
      </c>
      <c r="K29" s="4" t="s">
        <v>31</v>
      </c>
      <c r="L29" s="5" t="s">
        <v>32</v>
      </c>
      <c r="M29" s="5" t="s">
        <v>3</v>
      </c>
    </row>
    <row r="30" spans="1:13" x14ac:dyDescent="0.35">
      <c r="A30" s="7" t="s">
        <v>25</v>
      </c>
      <c r="B30" s="3">
        <v>5</v>
      </c>
      <c r="C30" s="7">
        <v>2026</v>
      </c>
      <c r="D30" s="8" t="s">
        <v>34</v>
      </c>
      <c r="E30" s="8" t="s">
        <v>49</v>
      </c>
      <c r="F30" s="8">
        <v>2</v>
      </c>
      <c r="G30" s="8" t="s">
        <v>72</v>
      </c>
      <c r="H30" s="8" t="s">
        <v>29</v>
      </c>
      <c r="I30" s="8"/>
      <c r="J30" s="8" t="s">
        <v>30</v>
      </c>
      <c r="K30" s="8" t="s">
        <v>31</v>
      </c>
      <c r="L30" s="9" t="s">
        <v>32</v>
      </c>
      <c r="M30" s="9" t="s">
        <v>8</v>
      </c>
    </row>
    <row r="31" spans="1:13" x14ac:dyDescent="0.35">
      <c r="A31" s="3" t="s">
        <v>25</v>
      </c>
      <c r="B31" s="3">
        <v>5</v>
      </c>
      <c r="C31" s="3">
        <v>2026</v>
      </c>
      <c r="D31" s="4" t="s">
        <v>34</v>
      </c>
      <c r="E31" s="4" t="s">
        <v>73</v>
      </c>
      <c r="F31" s="4">
        <v>3</v>
      </c>
      <c r="G31" s="4" t="s">
        <v>74</v>
      </c>
      <c r="H31" s="4" t="s">
        <v>29</v>
      </c>
      <c r="I31" s="4"/>
      <c r="J31" s="4" t="s">
        <v>30</v>
      </c>
      <c r="K31" s="4" t="s">
        <v>31</v>
      </c>
      <c r="L31" s="5" t="s">
        <v>32</v>
      </c>
      <c r="M31" s="5" t="s">
        <v>10</v>
      </c>
    </row>
    <row r="32" spans="1:13" x14ac:dyDescent="0.35">
      <c r="A32" s="7" t="s">
        <v>25</v>
      </c>
      <c r="B32" s="3">
        <v>5</v>
      </c>
      <c r="C32" s="7">
        <v>2026</v>
      </c>
      <c r="D32" s="8" t="s">
        <v>67</v>
      </c>
      <c r="E32" s="8" t="s">
        <v>27</v>
      </c>
      <c r="F32" s="8">
        <v>2</v>
      </c>
      <c r="G32" s="8" t="s">
        <v>75</v>
      </c>
      <c r="H32" s="8" t="s">
        <v>29</v>
      </c>
      <c r="I32" s="8"/>
      <c r="J32" s="8" t="s">
        <v>30</v>
      </c>
      <c r="K32" s="8" t="s">
        <v>31</v>
      </c>
      <c r="L32" s="9" t="s">
        <v>32</v>
      </c>
      <c r="M32" s="9" t="s">
        <v>5</v>
      </c>
    </row>
    <row r="33" spans="1:13" x14ac:dyDescent="0.35">
      <c r="A33" s="3" t="s">
        <v>25</v>
      </c>
      <c r="B33" s="3">
        <v>5</v>
      </c>
      <c r="C33" s="3">
        <v>2026</v>
      </c>
      <c r="D33" s="4" t="s">
        <v>34</v>
      </c>
      <c r="E33" s="4" t="s">
        <v>37</v>
      </c>
      <c r="F33" s="4">
        <v>2</v>
      </c>
      <c r="G33" s="4" t="s">
        <v>76</v>
      </c>
      <c r="H33" s="4" t="s">
        <v>29</v>
      </c>
      <c r="I33" s="4"/>
      <c r="J33" s="4" t="s">
        <v>30</v>
      </c>
      <c r="K33" s="4" t="s">
        <v>31</v>
      </c>
      <c r="L33" s="5" t="s">
        <v>32</v>
      </c>
      <c r="M33" s="5" t="s">
        <v>6</v>
      </c>
    </row>
    <row r="34" spans="1:13" x14ac:dyDescent="0.35">
      <c r="A34" s="7" t="s">
        <v>25</v>
      </c>
      <c r="B34" s="3">
        <v>5</v>
      </c>
      <c r="C34" s="7">
        <v>2026</v>
      </c>
      <c r="D34" s="8" t="s">
        <v>26</v>
      </c>
      <c r="E34" s="8" t="s">
        <v>27</v>
      </c>
      <c r="F34" s="8">
        <v>2</v>
      </c>
      <c r="G34" s="8" t="s">
        <v>77</v>
      </c>
      <c r="H34" s="8" t="s">
        <v>29</v>
      </c>
      <c r="I34" s="8"/>
      <c r="J34" s="8" t="s">
        <v>30</v>
      </c>
      <c r="K34" s="8" t="s">
        <v>31</v>
      </c>
      <c r="L34" s="9" t="s">
        <v>32</v>
      </c>
      <c r="M34" s="9" t="s">
        <v>5</v>
      </c>
    </row>
    <row r="35" spans="1:13" x14ac:dyDescent="0.35">
      <c r="A35" s="3" t="s">
        <v>25</v>
      </c>
      <c r="B35" s="3">
        <v>5</v>
      </c>
      <c r="C35" s="3">
        <v>2026</v>
      </c>
      <c r="D35" s="4" t="s">
        <v>78</v>
      </c>
      <c r="E35" s="4" t="s">
        <v>27</v>
      </c>
      <c r="F35" s="4">
        <v>3</v>
      </c>
      <c r="G35" s="4" t="s">
        <v>79</v>
      </c>
      <c r="H35" s="4" t="s">
        <v>29</v>
      </c>
      <c r="I35" s="4"/>
      <c r="J35" s="4" t="s">
        <v>30</v>
      </c>
      <c r="K35" s="4" t="s">
        <v>31</v>
      </c>
      <c r="L35" s="5" t="s">
        <v>32</v>
      </c>
      <c r="M35" s="5" t="s">
        <v>5</v>
      </c>
    </row>
    <row r="36" spans="1:13" x14ac:dyDescent="0.35">
      <c r="A36" s="7" t="s">
        <v>25</v>
      </c>
      <c r="B36" s="3">
        <v>5</v>
      </c>
      <c r="C36" s="7">
        <v>2026</v>
      </c>
      <c r="D36" s="8" t="s">
        <v>67</v>
      </c>
      <c r="E36" s="8" t="s">
        <v>27</v>
      </c>
      <c r="F36" s="8">
        <v>3</v>
      </c>
      <c r="G36" s="8" t="s">
        <v>80</v>
      </c>
      <c r="H36" s="8" t="s">
        <v>29</v>
      </c>
      <c r="I36" s="8"/>
      <c r="J36" s="8" t="s">
        <v>30</v>
      </c>
      <c r="K36" s="8" t="s">
        <v>31</v>
      </c>
      <c r="L36" s="9" t="s">
        <v>32</v>
      </c>
      <c r="M36" s="9" t="s">
        <v>5</v>
      </c>
    </row>
    <row r="37" spans="1:13" x14ac:dyDescent="0.35">
      <c r="A37" s="3" t="s">
        <v>25</v>
      </c>
      <c r="B37" s="3">
        <v>5</v>
      </c>
      <c r="C37" s="3">
        <v>2026</v>
      </c>
      <c r="D37" s="4" t="s">
        <v>45</v>
      </c>
      <c r="E37" s="4" t="s">
        <v>46</v>
      </c>
      <c r="F37" s="4">
        <v>3</v>
      </c>
      <c r="G37" s="4" t="s">
        <v>81</v>
      </c>
      <c r="H37" s="4" t="s">
        <v>29</v>
      </c>
      <c r="I37" s="4"/>
      <c r="J37" s="4" t="s">
        <v>30</v>
      </c>
      <c r="K37" s="4" t="s">
        <v>31</v>
      </c>
      <c r="L37" s="5" t="s">
        <v>32</v>
      </c>
      <c r="M37" s="5" t="s">
        <v>2</v>
      </c>
    </row>
    <row r="38" spans="1:13" x14ac:dyDescent="0.35">
      <c r="A38" s="7" t="s">
        <v>25</v>
      </c>
      <c r="B38" s="3">
        <v>5</v>
      </c>
      <c r="C38" s="7">
        <v>2026</v>
      </c>
      <c r="D38" s="8" t="s">
        <v>34</v>
      </c>
      <c r="E38" s="8" t="s">
        <v>37</v>
      </c>
      <c r="F38" s="8">
        <v>2</v>
      </c>
      <c r="G38" s="8" t="s">
        <v>82</v>
      </c>
      <c r="H38" s="8" t="s">
        <v>29</v>
      </c>
      <c r="I38" s="8"/>
      <c r="J38" s="8" t="s">
        <v>30</v>
      </c>
      <c r="K38" s="8" t="s">
        <v>31</v>
      </c>
      <c r="L38" s="9" t="s">
        <v>32</v>
      </c>
      <c r="M38" s="9" t="s">
        <v>6</v>
      </c>
    </row>
    <row r="39" spans="1:13" x14ac:dyDescent="0.35">
      <c r="A39" s="3" t="s">
        <v>25</v>
      </c>
      <c r="B39" s="3">
        <v>5</v>
      </c>
      <c r="C39" s="3">
        <v>2026</v>
      </c>
      <c r="D39" s="4" t="s">
        <v>45</v>
      </c>
      <c r="E39" s="4" t="s">
        <v>46</v>
      </c>
      <c r="F39" s="4">
        <v>3</v>
      </c>
      <c r="G39" s="4" t="s">
        <v>83</v>
      </c>
      <c r="H39" s="4" t="s">
        <v>48</v>
      </c>
      <c r="I39" s="4"/>
      <c r="J39" s="4" t="s">
        <v>30</v>
      </c>
      <c r="K39" s="4" t="s">
        <v>31</v>
      </c>
      <c r="L39" s="5" t="s">
        <v>32</v>
      </c>
      <c r="M39" s="5" t="s">
        <v>2</v>
      </c>
    </row>
    <row r="40" spans="1:13" x14ac:dyDescent="0.35">
      <c r="A40" s="7" t="s">
        <v>25</v>
      </c>
      <c r="B40" s="3">
        <v>5</v>
      </c>
      <c r="C40" s="7">
        <v>2026</v>
      </c>
      <c r="D40" s="8" t="s">
        <v>34</v>
      </c>
      <c r="E40" s="8" t="s">
        <v>35</v>
      </c>
      <c r="F40" s="8">
        <v>3</v>
      </c>
      <c r="G40" s="8" t="s">
        <v>84</v>
      </c>
      <c r="H40" s="8" t="s">
        <v>29</v>
      </c>
      <c r="I40" s="8"/>
      <c r="J40" s="8" t="s">
        <v>30</v>
      </c>
      <c r="K40" s="8" t="s">
        <v>31</v>
      </c>
      <c r="L40" s="9" t="s">
        <v>32</v>
      </c>
      <c r="M40" s="9" t="s">
        <v>3</v>
      </c>
    </row>
    <row r="41" spans="1:13" x14ac:dyDescent="0.35">
      <c r="A41" s="7" t="s">
        <v>25</v>
      </c>
      <c r="B41" s="3">
        <v>5</v>
      </c>
      <c r="C41" s="7">
        <v>2026</v>
      </c>
      <c r="D41" s="8" t="s">
        <v>34</v>
      </c>
      <c r="E41" s="8" t="s">
        <v>60</v>
      </c>
      <c r="F41" s="8">
        <v>3</v>
      </c>
      <c r="G41" s="8" t="s">
        <v>85</v>
      </c>
      <c r="H41" s="8" t="s">
        <v>29</v>
      </c>
      <c r="I41" s="8"/>
      <c r="J41" s="8" t="s">
        <v>30</v>
      </c>
      <c r="K41" s="8" t="s">
        <v>31</v>
      </c>
      <c r="L41" s="9" t="s">
        <v>32</v>
      </c>
      <c r="M41" s="9" t="s">
        <v>7</v>
      </c>
    </row>
    <row r="42" spans="1:13" x14ac:dyDescent="0.35">
      <c r="A42" s="3" t="s">
        <v>25</v>
      </c>
      <c r="B42" s="3">
        <v>5</v>
      </c>
      <c r="C42" s="3">
        <v>2026</v>
      </c>
      <c r="D42" s="4" t="s">
        <v>34</v>
      </c>
      <c r="E42" s="4" t="s">
        <v>41</v>
      </c>
      <c r="F42" s="4">
        <v>3</v>
      </c>
      <c r="G42" s="4" t="s">
        <v>86</v>
      </c>
      <c r="H42" s="4" t="s">
        <v>29</v>
      </c>
      <c r="I42" s="4"/>
      <c r="J42" s="4" t="s">
        <v>30</v>
      </c>
      <c r="K42" s="4" t="s">
        <v>31</v>
      </c>
      <c r="L42" s="5" t="s">
        <v>32</v>
      </c>
      <c r="M42" s="5" t="s">
        <v>4</v>
      </c>
    </row>
    <row r="43" spans="1:13" x14ac:dyDescent="0.35">
      <c r="A43" s="7" t="s">
        <v>25</v>
      </c>
      <c r="B43" s="3">
        <v>5</v>
      </c>
      <c r="C43" s="7">
        <v>2026</v>
      </c>
      <c r="D43" s="8" t="s">
        <v>67</v>
      </c>
      <c r="E43" s="8" t="s">
        <v>27</v>
      </c>
      <c r="F43" s="8">
        <v>3</v>
      </c>
      <c r="G43" s="8" t="s">
        <v>87</v>
      </c>
      <c r="H43" s="8" t="s">
        <v>29</v>
      </c>
      <c r="I43" s="8"/>
      <c r="J43" s="8" t="s">
        <v>30</v>
      </c>
      <c r="K43" s="8" t="s">
        <v>31</v>
      </c>
      <c r="L43" s="9" t="s">
        <v>32</v>
      </c>
      <c r="M43" s="9" t="s">
        <v>5</v>
      </c>
    </row>
    <row r="44" spans="1:13" x14ac:dyDescent="0.35">
      <c r="A44" s="3" t="s">
        <v>25</v>
      </c>
      <c r="B44" s="3">
        <v>5</v>
      </c>
      <c r="C44" s="3">
        <v>2026</v>
      </c>
      <c r="D44" s="4" t="s">
        <v>34</v>
      </c>
      <c r="E44" s="4" t="s">
        <v>39</v>
      </c>
      <c r="F44" s="4">
        <v>3</v>
      </c>
      <c r="G44" s="4" t="s">
        <v>88</v>
      </c>
      <c r="H44" s="4" t="s">
        <v>29</v>
      </c>
      <c r="I44" s="4"/>
      <c r="J44" s="4" t="s">
        <v>30</v>
      </c>
      <c r="K44" s="4" t="s">
        <v>31</v>
      </c>
      <c r="L44" s="5" t="s">
        <v>32</v>
      </c>
      <c r="M44" s="5" t="s">
        <v>9</v>
      </c>
    </row>
    <row r="45" spans="1:13" x14ac:dyDescent="0.35">
      <c r="A45" s="7" t="s">
        <v>25</v>
      </c>
      <c r="B45" s="3">
        <v>5</v>
      </c>
      <c r="C45" s="7">
        <v>2026</v>
      </c>
      <c r="D45" s="8" t="s">
        <v>34</v>
      </c>
      <c r="E45" s="8" t="s">
        <v>73</v>
      </c>
      <c r="F45" s="8">
        <v>3</v>
      </c>
      <c r="G45" s="8" t="s">
        <v>89</v>
      </c>
      <c r="H45" s="8" t="s">
        <v>29</v>
      </c>
      <c r="I45" s="8"/>
      <c r="J45" s="8" t="s">
        <v>30</v>
      </c>
      <c r="K45" s="8" t="s">
        <v>31</v>
      </c>
      <c r="L45" s="9" t="s">
        <v>32</v>
      </c>
      <c r="M45" s="9" t="s">
        <v>10</v>
      </c>
    </row>
    <row r="46" spans="1:13" x14ac:dyDescent="0.35">
      <c r="A46" s="3" t="s">
        <v>25</v>
      </c>
      <c r="B46" s="3">
        <v>5</v>
      </c>
      <c r="C46" s="3">
        <v>2026</v>
      </c>
      <c r="D46" s="4" t="s">
        <v>45</v>
      </c>
      <c r="E46" s="4" t="s">
        <v>46</v>
      </c>
      <c r="F46" s="4">
        <v>3</v>
      </c>
      <c r="G46" s="4" t="s">
        <v>90</v>
      </c>
      <c r="H46" s="4" t="s">
        <v>48</v>
      </c>
      <c r="I46" s="4"/>
      <c r="J46" s="4" t="s">
        <v>30</v>
      </c>
      <c r="K46" s="4" t="s">
        <v>31</v>
      </c>
      <c r="L46" s="5" t="s">
        <v>32</v>
      </c>
      <c r="M46" s="5" t="s">
        <v>2</v>
      </c>
    </row>
    <row r="47" spans="1:13" x14ac:dyDescent="0.35">
      <c r="A47" s="7" t="s">
        <v>25</v>
      </c>
      <c r="B47" s="3">
        <v>5</v>
      </c>
      <c r="C47" s="7">
        <v>2026</v>
      </c>
      <c r="D47" s="8" t="s">
        <v>34</v>
      </c>
      <c r="E47" s="8" t="s">
        <v>60</v>
      </c>
      <c r="F47" s="8">
        <v>3</v>
      </c>
      <c r="G47" s="8" t="s">
        <v>91</v>
      </c>
      <c r="H47" s="8" t="s">
        <v>29</v>
      </c>
      <c r="I47" s="8"/>
      <c r="J47" s="8" t="s">
        <v>30</v>
      </c>
      <c r="K47" s="8" t="s">
        <v>31</v>
      </c>
      <c r="L47" s="9" t="s">
        <v>32</v>
      </c>
      <c r="M47" s="9" t="s">
        <v>7</v>
      </c>
    </row>
    <row r="48" spans="1:13" x14ac:dyDescent="0.35">
      <c r="A48" s="3" t="s">
        <v>25</v>
      </c>
      <c r="B48" s="3">
        <v>5</v>
      </c>
      <c r="C48" s="3">
        <v>2026</v>
      </c>
      <c r="D48" s="4" t="s">
        <v>34</v>
      </c>
      <c r="E48" s="4" t="s">
        <v>60</v>
      </c>
      <c r="F48" s="4">
        <v>2</v>
      </c>
      <c r="G48" s="4" t="s">
        <v>92</v>
      </c>
      <c r="H48" s="4" t="s">
        <v>29</v>
      </c>
      <c r="I48" s="4"/>
      <c r="J48" s="4" t="s">
        <v>30</v>
      </c>
      <c r="K48" s="4" t="s">
        <v>31</v>
      </c>
      <c r="L48" s="5" t="s">
        <v>32</v>
      </c>
      <c r="M48" s="5" t="s">
        <v>7</v>
      </c>
    </row>
    <row r="49" spans="1:13" x14ac:dyDescent="0.35">
      <c r="A49" s="7" t="s">
        <v>25</v>
      </c>
      <c r="B49" s="3">
        <v>5</v>
      </c>
      <c r="C49" s="7">
        <v>2026</v>
      </c>
      <c r="D49" s="8" t="s">
        <v>34</v>
      </c>
      <c r="E49" s="8" t="s">
        <v>37</v>
      </c>
      <c r="F49" s="8">
        <v>3</v>
      </c>
      <c r="G49" s="8" t="s">
        <v>93</v>
      </c>
      <c r="H49" s="8" t="s">
        <v>29</v>
      </c>
      <c r="I49" s="8"/>
      <c r="J49" s="8" t="s">
        <v>30</v>
      </c>
      <c r="K49" s="8" t="s">
        <v>31</v>
      </c>
      <c r="L49" s="9" t="s">
        <v>32</v>
      </c>
      <c r="M49" s="9" t="s">
        <v>6</v>
      </c>
    </row>
    <row r="50" spans="1:13" x14ac:dyDescent="0.35">
      <c r="A50" s="3" t="s">
        <v>25</v>
      </c>
      <c r="B50" s="3">
        <v>5</v>
      </c>
      <c r="C50" s="3">
        <v>2026</v>
      </c>
      <c r="D50" s="4" t="s">
        <v>34</v>
      </c>
      <c r="E50" s="4" t="s">
        <v>60</v>
      </c>
      <c r="F50" s="4">
        <v>2</v>
      </c>
      <c r="G50" s="4" t="s">
        <v>94</v>
      </c>
      <c r="H50" s="4" t="s">
        <v>29</v>
      </c>
      <c r="I50" s="4"/>
      <c r="J50" s="4" t="s">
        <v>30</v>
      </c>
      <c r="K50" s="4" t="s">
        <v>31</v>
      </c>
      <c r="L50" s="5" t="s">
        <v>32</v>
      </c>
      <c r="M50" s="5" t="s">
        <v>7</v>
      </c>
    </row>
    <row r="51" spans="1:13" x14ac:dyDescent="0.35">
      <c r="A51" s="7" t="s">
        <v>25</v>
      </c>
      <c r="B51" s="3">
        <v>5</v>
      </c>
      <c r="C51" s="7">
        <v>2026</v>
      </c>
      <c r="D51" s="8" t="s">
        <v>34</v>
      </c>
      <c r="E51" s="8" t="s">
        <v>39</v>
      </c>
      <c r="F51" s="8">
        <v>3</v>
      </c>
      <c r="G51" s="8" t="s">
        <v>95</v>
      </c>
      <c r="H51" s="8" t="s">
        <v>29</v>
      </c>
      <c r="I51" s="8"/>
      <c r="J51" s="8" t="s">
        <v>30</v>
      </c>
      <c r="K51" s="8" t="s">
        <v>31</v>
      </c>
      <c r="L51" s="9" t="s">
        <v>32</v>
      </c>
      <c r="M51" s="9" t="s">
        <v>9</v>
      </c>
    </row>
    <row r="52" spans="1:13" x14ac:dyDescent="0.35">
      <c r="A52" s="3" t="s">
        <v>25</v>
      </c>
      <c r="B52" s="3">
        <v>5</v>
      </c>
      <c r="C52" s="3">
        <v>2026</v>
      </c>
      <c r="D52" s="4" t="s">
        <v>45</v>
      </c>
      <c r="E52" s="4" t="s">
        <v>46</v>
      </c>
      <c r="F52" s="4">
        <v>2</v>
      </c>
      <c r="G52" s="4" t="s">
        <v>96</v>
      </c>
      <c r="H52" s="4" t="s">
        <v>29</v>
      </c>
      <c r="I52" s="4"/>
      <c r="J52" s="4" t="s">
        <v>30</v>
      </c>
      <c r="K52" s="4" t="s">
        <v>31</v>
      </c>
      <c r="L52" s="5" t="s">
        <v>32</v>
      </c>
      <c r="M52" s="5" t="s">
        <v>2</v>
      </c>
    </row>
    <row r="53" spans="1:13" x14ac:dyDescent="0.35">
      <c r="A53" s="7" t="s">
        <v>25</v>
      </c>
      <c r="B53" s="3">
        <v>5</v>
      </c>
      <c r="C53" s="7">
        <v>2026</v>
      </c>
      <c r="D53" s="8" t="s">
        <v>67</v>
      </c>
      <c r="E53" s="8" t="s">
        <v>27</v>
      </c>
      <c r="F53" s="8">
        <v>2</v>
      </c>
      <c r="G53" s="8" t="s">
        <v>97</v>
      </c>
      <c r="H53" s="8" t="s">
        <v>29</v>
      </c>
      <c r="I53" s="8"/>
      <c r="J53" s="8" t="s">
        <v>30</v>
      </c>
      <c r="K53" s="8" t="s">
        <v>31</v>
      </c>
      <c r="L53" s="9" t="s">
        <v>32</v>
      </c>
      <c r="M53" s="9" t="s">
        <v>5</v>
      </c>
    </row>
    <row r="54" spans="1:13" x14ac:dyDescent="0.35">
      <c r="A54" s="3" t="s">
        <v>25</v>
      </c>
      <c r="B54" s="3">
        <v>5</v>
      </c>
      <c r="C54" s="3">
        <v>2026</v>
      </c>
      <c r="D54" s="4" t="s">
        <v>45</v>
      </c>
      <c r="E54" s="4" t="s">
        <v>46</v>
      </c>
      <c r="F54" s="4">
        <v>3</v>
      </c>
      <c r="G54" s="4" t="s">
        <v>98</v>
      </c>
      <c r="H54" s="4" t="s">
        <v>48</v>
      </c>
      <c r="I54" s="4"/>
      <c r="J54" s="4" t="s">
        <v>30</v>
      </c>
      <c r="K54" s="4" t="s">
        <v>31</v>
      </c>
      <c r="L54" s="5" t="s">
        <v>32</v>
      </c>
      <c r="M54" s="5" t="s">
        <v>2</v>
      </c>
    </row>
    <row r="55" spans="1:13" x14ac:dyDescent="0.35">
      <c r="A55" s="7" t="s">
        <v>25</v>
      </c>
      <c r="B55" s="3">
        <v>5</v>
      </c>
      <c r="C55" s="7">
        <v>2026</v>
      </c>
      <c r="D55" s="8" t="s">
        <v>67</v>
      </c>
      <c r="E55" s="8" t="s">
        <v>27</v>
      </c>
      <c r="F55" s="8">
        <v>2</v>
      </c>
      <c r="G55" s="8" t="s">
        <v>99</v>
      </c>
      <c r="H55" s="8" t="s">
        <v>29</v>
      </c>
      <c r="I55" s="8"/>
      <c r="J55" s="8" t="s">
        <v>30</v>
      </c>
      <c r="K55" s="8" t="s">
        <v>31</v>
      </c>
      <c r="L55" s="9" t="s">
        <v>32</v>
      </c>
      <c r="M55" s="9" t="s">
        <v>5</v>
      </c>
    </row>
    <row r="56" spans="1:13" x14ac:dyDescent="0.35">
      <c r="A56" s="3" t="s">
        <v>25</v>
      </c>
      <c r="B56" s="3">
        <v>5</v>
      </c>
      <c r="C56" s="3">
        <v>2026</v>
      </c>
      <c r="D56" s="4" t="s">
        <v>34</v>
      </c>
      <c r="E56" s="4" t="s">
        <v>60</v>
      </c>
      <c r="F56" s="4">
        <v>2</v>
      </c>
      <c r="G56" s="4" t="s">
        <v>100</v>
      </c>
      <c r="H56" s="4" t="s">
        <v>29</v>
      </c>
      <c r="I56" s="4"/>
      <c r="J56" s="4" t="s">
        <v>30</v>
      </c>
      <c r="K56" s="4" t="s">
        <v>31</v>
      </c>
      <c r="L56" s="5" t="s">
        <v>32</v>
      </c>
      <c r="M56" s="5" t="s">
        <v>7</v>
      </c>
    </row>
    <row r="57" spans="1:13" x14ac:dyDescent="0.35">
      <c r="A57" s="7" t="s">
        <v>25</v>
      </c>
      <c r="B57" s="3">
        <v>5</v>
      </c>
      <c r="C57" s="7">
        <v>2026</v>
      </c>
      <c r="D57" s="8" t="s">
        <v>34</v>
      </c>
      <c r="E57" s="8" t="s">
        <v>35</v>
      </c>
      <c r="F57" s="8">
        <v>3</v>
      </c>
      <c r="G57" s="8" t="s">
        <v>101</v>
      </c>
      <c r="H57" s="8" t="s">
        <v>29</v>
      </c>
      <c r="I57" s="8"/>
      <c r="J57" s="8" t="s">
        <v>30</v>
      </c>
      <c r="K57" s="8" t="s">
        <v>31</v>
      </c>
      <c r="L57" s="9" t="s">
        <v>32</v>
      </c>
      <c r="M57" s="9" t="s">
        <v>3</v>
      </c>
    </row>
    <row r="58" spans="1:13" x14ac:dyDescent="0.35">
      <c r="A58" s="3" t="s">
        <v>25</v>
      </c>
      <c r="B58" s="3">
        <v>5</v>
      </c>
      <c r="C58" s="3">
        <v>2026</v>
      </c>
      <c r="D58" s="4" t="s">
        <v>26</v>
      </c>
      <c r="E58" s="4" t="s">
        <v>27</v>
      </c>
      <c r="F58" s="4">
        <v>2</v>
      </c>
      <c r="G58" s="4" t="s">
        <v>102</v>
      </c>
      <c r="H58" s="4" t="s">
        <v>29</v>
      </c>
      <c r="I58" s="4"/>
      <c r="J58" s="4" t="s">
        <v>30</v>
      </c>
      <c r="K58" s="4" t="s">
        <v>31</v>
      </c>
      <c r="L58" s="5" t="s">
        <v>32</v>
      </c>
      <c r="M58" s="5" t="s">
        <v>5</v>
      </c>
    </row>
    <row r="59" spans="1:13" x14ac:dyDescent="0.35">
      <c r="A59" s="7" t="s">
        <v>25</v>
      </c>
      <c r="B59" s="3">
        <v>5</v>
      </c>
      <c r="C59" s="7">
        <v>2026</v>
      </c>
      <c r="D59" s="8" t="s">
        <v>34</v>
      </c>
      <c r="E59" s="8" t="s">
        <v>39</v>
      </c>
      <c r="F59" s="8">
        <v>3</v>
      </c>
      <c r="G59" s="8" t="s">
        <v>103</v>
      </c>
      <c r="H59" s="8" t="s">
        <v>29</v>
      </c>
      <c r="I59" s="8"/>
      <c r="J59" s="8" t="s">
        <v>30</v>
      </c>
      <c r="K59" s="8" t="s">
        <v>31</v>
      </c>
      <c r="L59" s="9" t="s">
        <v>32</v>
      </c>
      <c r="M59" s="9" t="s">
        <v>9</v>
      </c>
    </row>
    <row r="60" spans="1:13" x14ac:dyDescent="0.35">
      <c r="A60" s="3" t="s">
        <v>25</v>
      </c>
      <c r="B60" s="3">
        <v>5</v>
      </c>
      <c r="C60" s="3">
        <v>2026</v>
      </c>
      <c r="D60" s="4" t="s">
        <v>34</v>
      </c>
      <c r="E60" s="4" t="s">
        <v>41</v>
      </c>
      <c r="F60" s="4">
        <v>3</v>
      </c>
      <c r="G60" s="4" t="s">
        <v>104</v>
      </c>
      <c r="H60" s="4" t="s">
        <v>29</v>
      </c>
      <c r="I60" s="4"/>
      <c r="J60" s="4" t="s">
        <v>30</v>
      </c>
      <c r="K60" s="4" t="s">
        <v>31</v>
      </c>
      <c r="L60" s="5" t="s">
        <v>32</v>
      </c>
      <c r="M60" s="5" t="s">
        <v>4</v>
      </c>
    </row>
    <row r="61" spans="1:13" x14ac:dyDescent="0.35">
      <c r="A61" s="7" t="s">
        <v>25</v>
      </c>
      <c r="B61" s="3">
        <v>5</v>
      </c>
      <c r="C61" s="7">
        <v>2026</v>
      </c>
      <c r="D61" s="8" t="s">
        <v>45</v>
      </c>
      <c r="E61" s="8" t="s">
        <v>46</v>
      </c>
      <c r="F61" s="8">
        <v>3</v>
      </c>
      <c r="G61" s="8" t="s">
        <v>105</v>
      </c>
      <c r="H61" s="8" t="s">
        <v>48</v>
      </c>
      <c r="I61" s="8"/>
      <c r="J61" s="8" t="s">
        <v>30</v>
      </c>
      <c r="K61" s="8" t="s">
        <v>31</v>
      </c>
      <c r="L61" s="9" t="s">
        <v>32</v>
      </c>
      <c r="M61" s="9" t="s">
        <v>2</v>
      </c>
    </row>
    <row r="62" spans="1:13" x14ac:dyDescent="0.35">
      <c r="A62" s="3" t="s">
        <v>25</v>
      </c>
      <c r="B62" s="3">
        <v>5</v>
      </c>
      <c r="C62" s="3">
        <v>2026</v>
      </c>
      <c r="D62" s="4" t="s">
        <v>34</v>
      </c>
      <c r="E62" s="4" t="s">
        <v>41</v>
      </c>
      <c r="F62" s="4">
        <v>3</v>
      </c>
      <c r="G62" s="4" t="s">
        <v>106</v>
      </c>
      <c r="H62" s="4" t="s">
        <v>29</v>
      </c>
      <c r="I62" s="4"/>
      <c r="J62" s="4" t="s">
        <v>30</v>
      </c>
      <c r="K62" s="4" t="s">
        <v>31</v>
      </c>
      <c r="L62" s="5" t="s">
        <v>32</v>
      </c>
      <c r="M62" s="5" t="s">
        <v>4</v>
      </c>
    </row>
    <row r="63" spans="1:13" x14ac:dyDescent="0.35">
      <c r="A63" s="7" t="s">
        <v>25</v>
      </c>
      <c r="B63" s="3">
        <v>5</v>
      </c>
      <c r="C63" s="7">
        <v>2026</v>
      </c>
      <c r="D63" s="8" t="s">
        <v>34</v>
      </c>
      <c r="E63" s="8" t="s">
        <v>39</v>
      </c>
      <c r="F63" s="8">
        <v>3</v>
      </c>
      <c r="G63" s="8" t="s">
        <v>107</v>
      </c>
      <c r="H63" s="8" t="s">
        <v>29</v>
      </c>
      <c r="I63" s="8"/>
      <c r="J63" s="8" t="s">
        <v>30</v>
      </c>
      <c r="K63" s="8" t="s">
        <v>31</v>
      </c>
      <c r="L63" s="9" t="s">
        <v>32</v>
      </c>
      <c r="M63" s="9" t="s">
        <v>9</v>
      </c>
    </row>
    <row r="64" spans="1:13" x14ac:dyDescent="0.35">
      <c r="A64" s="3" t="s">
        <v>25</v>
      </c>
      <c r="B64" s="3">
        <v>5</v>
      </c>
      <c r="C64" s="3">
        <v>2026</v>
      </c>
      <c r="D64" s="4" t="s">
        <v>34</v>
      </c>
      <c r="E64" s="4" t="s">
        <v>73</v>
      </c>
      <c r="F64" s="4">
        <v>3</v>
      </c>
      <c r="G64" s="4" t="s">
        <v>108</v>
      </c>
      <c r="H64" s="4" t="s">
        <v>29</v>
      </c>
      <c r="I64" s="4"/>
      <c r="J64" s="4" t="s">
        <v>30</v>
      </c>
      <c r="K64" s="4" t="s">
        <v>31</v>
      </c>
      <c r="L64" s="5" t="s">
        <v>32</v>
      </c>
      <c r="M64" s="5" t="s">
        <v>10</v>
      </c>
    </row>
    <row r="65" spans="1:13" x14ac:dyDescent="0.35">
      <c r="A65" s="7" t="s">
        <v>25</v>
      </c>
      <c r="B65" s="3">
        <v>5</v>
      </c>
      <c r="C65" s="7">
        <v>2026</v>
      </c>
      <c r="D65" s="8" t="s">
        <v>34</v>
      </c>
      <c r="E65" s="8" t="s">
        <v>60</v>
      </c>
      <c r="F65" s="8">
        <v>3</v>
      </c>
      <c r="G65" s="8" t="s">
        <v>109</v>
      </c>
      <c r="H65" s="8" t="s">
        <v>29</v>
      </c>
      <c r="I65" s="8"/>
      <c r="J65" s="8" t="s">
        <v>30</v>
      </c>
      <c r="K65" s="8" t="s">
        <v>31</v>
      </c>
      <c r="L65" s="9" t="s">
        <v>32</v>
      </c>
      <c r="M65" s="9" t="s">
        <v>7</v>
      </c>
    </row>
    <row r="66" spans="1:13" x14ac:dyDescent="0.35">
      <c r="A66" s="3" t="s">
        <v>25</v>
      </c>
      <c r="B66" s="3">
        <v>5</v>
      </c>
      <c r="C66" s="3">
        <v>2026</v>
      </c>
      <c r="D66" s="4" t="s">
        <v>34</v>
      </c>
      <c r="E66" s="4" t="s">
        <v>35</v>
      </c>
      <c r="F66" s="4">
        <v>3</v>
      </c>
      <c r="G66" s="4" t="s">
        <v>110</v>
      </c>
      <c r="H66" s="4" t="s">
        <v>29</v>
      </c>
      <c r="I66" s="4"/>
      <c r="J66" s="4" t="s">
        <v>30</v>
      </c>
      <c r="K66" s="4" t="s">
        <v>31</v>
      </c>
      <c r="L66" s="5" t="s">
        <v>32</v>
      </c>
      <c r="M66" s="5" t="s">
        <v>3</v>
      </c>
    </row>
    <row r="67" spans="1:13" x14ac:dyDescent="0.35">
      <c r="A67" s="7" t="s">
        <v>25</v>
      </c>
      <c r="B67" s="3">
        <v>5</v>
      </c>
      <c r="C67" s="7">
        <v>2026</v>
      </c>
      <c r="D67" s="8" t="s">
        <v>34</v>
      </c>
      <c r="E67" s="8" t="s">
        <v>41</v>
      </c>
      <c r="F67" s="8">
        <v>3</v>
      </c>
      <c r="G67" s="8" t="s">
        <v>111</v>
      </c>
      <c r="H67" s="8" t="s">
        <v>29</v>
      </c>
      <c r="I67" s="8"/>
      <c r="J67" s="8" t="s">
        <v>30</v>
      </c>
      <c r="K67" s="8" t="s">
        <v>31</v>
      </c>
      <c r="L67" s="9" t="s">
        <v>32</v>
      </c>
      <c r="M67" s="9" t="s">
        <v>4</v>
      </c>
    </row>
    <row r="68" spans="1:13" x14ac:dyDescent="0.35">
      <c r="A68" s="3" t="s">
        <v>25</v>
      </c>
      <c r="B68" s="3">
        <v>5</v>
      </c>
      <c r="C68" s="3">
        <v>2026</v>
      </c>
      <c r="D68" s="4" t="s">
        <v>34</v>
      </c>
      <c r="E68" s="4" t="s">
        <v>41</v>
      </c>
      <c r="F68" s="4">
        <v>3</v>
      </c>
      <c r="G68" s="4" t="s">
        <v>112</v>
      </c>
      <c r="H68" s="4" t="s">
        <v>29</v>
      </c>
      <c r="I68" s="4"/>
      <c r="J68" s="4" t="s">
        <v>30</v>
      </c>
      <c r="K68" s="4" t="s">
        <v>31</v>
      </c>
      <c r="L68" s="5" t="s">
        <v>32</v>
      </c>
      <c r="M68" s="5" t="s">
        <v>4</v>
      </c>
    </row>
    <row r="69" spans="1:13" x14ac:dyDescent="0.35">
      <c r="A69" s="7" t="s">
        <v>25</v>
      </c>
      <c r="B69" s="3">
        <v>5</v>
      </c>
      <c r="C69" s="7">
        <v>2026</v>
      </c>
      <c r="D69" s="8" t="s">
        <v>34</v>
      </c>
      <c r="E69" s="8" t="s">
        <v>35</v>
      </c>
      <c r="F69" s="8">
        <v>3</v>
      </c>
      <c r="G69" s="8" t="s">
        <v>113</v>
      </c>
      <c r="H69" s="8" t="s">
        <v>29</v>
      </c>
      <c r="I69" s="8"/>
      <c r="J69" s="8" t="s">
        <v>30</v>
      </c>
      <c r="K69" s="8" t="s">
        <v>31</v>
      </c>
      <c r="L69" s="9" t="s">
        <v>32</v>
      </c>
      <c r="M69" s="9" t="s">
        <v>3</v>
      </c>
    </row>
    <row r="70" spans="1:13" x14ac:dyDescent="0.35">
      <c r="A70" s="3" t="s">
        <v>25</v>
      </c>
      <c r="B70" s="3">
        <v>5</v>
      </c>
      <c r="C70" s="3">
        <v>2026</v>
      </c>
      <c r="D70" s="4" t="s">
        <v>67</v>
      </c>
      <c r="E70" s="4" t="s">
        <v>27</v>
      </c>
      <c r="F70" s="4">
        <v>2</v>
      </c>
      <c r="G70" s="4" t="s">
        <v>114</v>
      </c>
      <c r="H70" s="4" t="s">
        <v>29</v>
      </c>
      <c r="I70" s="4"/>
      <c r="J70" s="4" t="s">
        <v>30</v>
      </c>
      <c r="K70" s="4" t="s">
        <v>31</v>
      </c>
      <c r="L70" s="5" t="s">
        <v>32</v>
      </c>
      <c r="M70" s="5" t="s">
        <v>5</v>
      </c>
    </row>
    <row r="71" spans="1:13" x14ac:dyDescent="0.35">
      <c r="A71" s="7" t="s">
        <v>25</v>
      </c>
      <c r="B71" s="3">
        <v>5</v>
      </c>
      <c r="C71" s="7">
        <v>2026</v>
      </c>
      <c r="D71" s="8" t="s">
        <v>34</v>
      </c>
      <c r="E71" s="8" t="s">
        <v>49</v>
      </c>
      <c r="F71" s="8">
        <v>3</v>
      </c>
      <c r="G71" s="8" t="s">
        <v>115</v>
      </c>
      <c r="H71" s="8" t="s">
        <v>29</v>
      </c>
      <c r="I71" s="8"/>
      <c r="J71" s="8" t="s">
        <v>30</v>
      </c>
      <c r="K71" s="8" t="s">
        <v>31</v>
      </c>
      <c r="L71" s="9" t="s">
        <v>32</v>
      </c>
      <c r="M71" s="9" t="s">
        <v>8</v>
      </c>
    </row>
    <row r="72" spans="1:13" x14ac:dyDescent="0.35">
      <c r="A72" s="3" t="s">
        <v>25</v>
      </c>
      <c r="B72" s="3">
        <v>5</v>
      </c>
      <c r="C72" s="3">
        <v>2026</v>
      </c>
      <c r="D72" s="4" t="s">
        <v>34</v>
      </c>
      <c r="E72" s="4" t="s">
        <v>39</v>
      </c>
      <c r="F72" s="4">
        <v>3</v>
      </c>
      <c r="G72" s="4" t="s">
        <v>116</v>
      </c>
      <c r="H72" s="4" t="s">
        <v>29</v>
      </c>
      <c r="I72" s="4"/>
      <c r="J72" s="4" t="s">
        <v>30</v>
      </c>
      <c r="K72" s="4" t="s">
        <v>31</v>
      </c>
      <c r="L72" s="5" t="s">
        <v>32</v>
      </c>
      <c r="M72" s="5" t="s">
        <v>9</v>
      </c>
    </row>
    <row r="73" spans="1:13" x14ac:dyDescent="0.35">
      <c r="A73" s="7" t="s">
        <v>25</v>
      </c>
      <c r="B73" s="3">
        <v>5</v>
      </c>
      <c r="C73" s="7">
        <v>2026</v>
      </c>
      <c r="D73" s="8" t="s">
        <v>34</v>
      </c>
      <c r="E73" s="8" t="s">
        <v>49</v>
      </c>
      <c r="F73" s="8">
        <v>3</v>
      </c>
      <c r="G73" s="8" t="s">
        <v>117</v>
      </c>
      <c r="H73" s="8" t="s">
        <v>29</v>
      </c>
      <c r="I73" s="8"/>
      <c r="J73" s="8" t="s">
        <v>30</v>
      </c>
      <c r="K73" s="8" t="s">
        <v>31</v>
      </c>
      <c r="L73" s="9" t="s">
        <v>32</v>
      </c>
      <c r="M73" s="9" t="s">
        <v>8</v>
      </c>
    </row>
    <row r="74" spans="1:13" x14ac:dyDescent="0.35">
      <c r="A74" s="3" t="s">
        <v>25</v>
      </c>
      <c r="B74" s="3">
        <v>5</v>
      </c>
      <c r="C74" s="3">
        <v>2026</v>
      </c>
      <c r="D74" s="4" t="s">
        <v>45</v>
      </c>
      <c r="E74" s="4" t="s">
        <v>46</v>
      </c>
      <c r="F74" s="4">
        <v>3</v>
      </c>
      <c r="G74" s="4" t="s">
        <v>118</v>
      </c>
      <c r="H74" s="4" t="s">
        <v>48</v>
      </c>
      <c r="I74" s="4"/>
      <c r="J74" s="4" t="s">
        <v>30</v>
      </c>
      <c r="K74" s="4" t="s">
        <v>31</v>
      </c>
      <c r="L74" s="5" t="s">
        <v>32</v>
      </c>
      <c r="M74" s="5" t="s">
        <v>2</v>
      </c>
    </row>
    <row r="75" spans="1:13" x14ac:dyDescent="0.35">
      <c r="A75" s="7" t="s">
        <v>25</v>
      </c>
      <c r="B75" s="3">
        <v>5</v>
      </c>
      <c r="C75" s="7">
        <v>2026</v>
      </c>
      <c r="D75" s="8" t="s">
        <v>34</v>
      </c>
      <c r="E75" s="8" t="s">
        <v>35</v>
      </c>
      <c r="F75" s="8">
        <v>3</v>
      </c>
      <c r="G75" s="8" t="s">
        <v>119</v>
      </c>
      <c r="H75" s="8" t="s">
        <v>29</v>
      </c>
      <c r="I75" s="8"/>
      <c r="J75" s="8" t="s">
        <v>30</v>
      </c>
      <c r="K75" s="8" t="s">
        <v>31</v>
      </c>
      <c r="L75" s="9" t="s">
        <v>32</v>
      </c>
      <c r="M75" s="9" t="s">
        <v>3</v>
      </c>
    </row>
    <row r="76" spans="1:13" x14ac:dyDescent="0.35">
      <c r="A76" s="3" t="s">
        <v>25</v>
      </c>
      <c r="B76" s="3">
        <v>5</v>
      </c>
      <c r="C76" s="3">
        <v>2026</v>
      </c>
      <c r="D76" s="4" t="s">
        <v>45</v>
      </c>
      <c r="E76" s="4" t="s">
        <v>46</v>
      </c>
      <c r="F76" s="4">
        <v>3</v>
      </c>
      <c r="G76" s="4" t="s">
        <v>120</v>
      </c>
      <c r="H76" s="4" t="s">
        <v>29</v>
      </c>
      <c r="I76" s="4"/>
      <c r="J76" s="4" t="s">
        <v>30</v>
      </c>
      <c r="K76" s="4" t="s">
        <v>31</v>
      </c>
      <c r="L76" s="5" t="s">
        <v>32</v>
      </c>
      <c r="M76" s="5" t="s">
        <v>2</v>
      </c>
    </row>
    <row r="77" spans="1:13" x14ac:dyDescent="0.35">
      <c r="A77" s="3" t="s">
        <v>25</v>
      </c>
      <c r="B77" s="3">
        <v>5</v>
      </c>
      <c r="C77" s="3">
        <v>2026</v>
      </c>
      <c r="D77" s="4" t="s">
        <v>34</v>
      </c>
      <c r="E77" s="4" t="s">
        <v>60</v>
      </c>
      <c r="F77" s="4">
        <v>3</v>
      </c>
      <c r="G77" s="4" t="s">
        <v>121</v>
      </c>
      <c r="H77" s="4" t="s">
        <v>29</v>
      </c>
      <c r="I77" s="4"/>
      <c r="J77" s="4" t="s">
        <v>30</v>
      </c>
      <c r="K77" s="4" t="s">
        <v>31</v>
      </c>
      <c r="L77" s="5" t="s">
        <v>32</v>
      </c>
      <c r="M77" s="5" t="s">
        <v>7</v>
      </c>
    </row>
    <row r="78" spans="1:13" x14ac:dyDescent="0.35">
      <c r="A78" s="7" t="s">
        <v>25</v>
      </c>
      <c r="B78" s="3">
        <v>5</v>
      </c>
      <c r="C78" s="7">
        <v>2026</v>
      </c>
      <c r="D78" s="8" t="s">
        <v>45</v>
      </c>
      <c r="E78" s="8" t="s">
        <v>46</v>
      </c>
      <c r="F78" s="8">
        <v>3</v>
      </c>
      <c r="G78" s="8" t="s">
        <v>122</v>
      </c>
      <c r="H78" s="8" t="s">
        <v>48</v>
      </c>
      <c r="I78" s="8"/>
      <c r="J78" s="8" t="s">
        <v>30</v>
      </c>
      <c r="K78" s="8" t="s">
        <v>31</v>
      </c>
      <c r="L78" s="9" t="s">
        <v>32</v>
      </c>
      <c r="M78" s="9" t="s">
        <v>2</v>
      </c>
    </row>
    <row r="79" spans="1:13" x14ac:dyDescent="0.35">
      <c r="A79" s="3" t="s">
        <v>25</v>
      </c>
      <c r="B79" s="3">
        <v>5</v>
      </c>
      <c r="C79" s="3">
        <v>2026</v>
      </c>
      <c r="D79" s="4" t="s">
        <v>34</v>
      </c>
      <c r="E79" s="4" t="s">
        <v>41</v>
      </c>
      <c r="F79" s="4">
        <v>3</v>
      </c>
      <c r="G79" s="4" t="s">
        <v>123</v>
      </c>
      <c r="H79" s="4" t="s">
        <v>29</v>
      </c>
      <c r="I79" s="4"/>
      <c r="J79" s="4" t="s">
        <v>30</v>
      </c>
      <c r="K79" s="4" t="s">
        <v>31</v>
      </c>
      <c r="L79" s="5" t="s">
        <v>32</v>
      </c>
      <c r="M79" s="5" t="s">
        <v>4</v>
      </c>
    </row>
    <row r="80" spans="1:13" x14ac:dyDescent="0.35">
      <c r="A80" s="7" t="s">
        <v>25</v>
      </c>
      <c r="B80" s="3">
        <v>5</v>
      </c>
      <c r="C80" s="7">
        <v>2026</v>
      </c>
      <c r="D80" s="8" t="s">
        <v>34</v>
      </c>
      <c r="E80" s="8" t="s">
        <v>37</v>
      </c>
      <c r="F80" s="8">
        <v>1</v>
      </c>
      <c r="G80" s="8" t="s">
        <v>124</v>
      </c>
      <c r="H80" s="8" t="s">
        <v>29</v>
      </c>
      <c r="I80" s="8"/>
      <c r="J80" s="8" t="s">
        <v>30</v>
      </c>
      <c r="K80" s="8" t="s">
        <v>31</v>
      </c>
      <c r="L80" s="9" t="s">
        <v>32</v>
      </c>
      <c r="M80" s="9" t="s">
        <v>6</v>
      </c>
    </row>
    <row r="81" spans="1:13" x14ac:dyDescent="0.35">
      <c r="A81" s="3" t="s">
        <v>25</v>
      </c>
      <c r="B81" s="3">
        <v>5</v>
      </c>
      <c r="C81" s="3">
        <v>2026</v>
      </c>
      <c r="D81" s="4" t="s">
        <v>34</v>
      </c>
      <c r="E81" s="4" t="s">
        <v>37</v>
      </c>
      <c r="F81" s="4">
        <v>3</v>
      </c>
      <c r="G81" s="4" t="s">
        <v>125</v>
      </c>
      <c r="H81" s="4" t="s">
        <v>29</v>
      </c>
      <c r="I81" s="4"/>
      <c r="J81" s="4" t="s">
        <v>30</v>
      </c>
      <c r="K81" s="4" t="s">
        <v>31</v>
      </c>
      <c r="L81" s="5" t="s">
        <v>32</v>
      </c>
      <c r="M81" s="5" t="s">
        <v>6</v>
      </c>
    </row>
    <row r="82" spans="1:13" x14ac:dyDescent="0.35">
      <c r="A82" s="7" t="s">
        <v>25</v>
      </c>
      <c r="B82" s="3">
        <v>5</v>
      </c>
      <c r="C82" s="7">
        <v>2026</v>
      </c>
      <c r="D82" s="8" t="s">
        <v>45</v>
      </c>
      <c r="E82" s="8" t="s">
        <v>46</v>
      </c>
      <c r="F82" s="8">
        <v>3</v>
      </c>
      <c r="G82" s="8" t="s">
        <v>126</v>
      </c>
      <c r="H82" s="8" t="s">
        <v>48</v>
      </c>
      <c r="I82" s="8"/>
      <c r="J82" s="8" t="s">
        <v>30</v>
      </c>
      <c r="K82" s="8" t="s">
        <v>31</v>
      </c>
      <c r="L82" s="9" t="s">
        <v>32</v>
      </c>
      <c r="M82" s="9" t="s">
        <v>2</v>
      </c>
    </row>
    <row r="83" spans="1:13" x14ac:dyDescent="0.35">
      <c r="A83" s="3" t="s">
        <v>25</v>
      </c>
      <c r="B83" s="3">
        <v>5</v>
      </c>
      <c r="C83" s="3">
        <v>2026</v>
      </c>
      <c r="D83" s="4" t="s">
        <v>45</v>
      </c>
      <c r="E83" s="4" t="s">
        <v>46</v>
      </c>
      <c r="F83" s="4">
        <v>3</v>
      </c>
      <c r="G83" s="4" t="s">
        <v>127</v>
      </c>
      <c r="H83" s="4" t="s">
        <v>48</v>
      </c>
      <c r="I83" s="4"/>
      <c r="J83" s="4" t="s">
        <v>30</v>
      </c>
      <c r="K83" s="4" t="s">
        <v>31</v>
      </c>
      <c r="L83" s="5" t="s">
        <v>32</v>
      </c>
      <c r="M83" s="5" t="s">
        <v>2</v>
      </c>
    </row>
    <row r="84" spans="1:13" x14ac:dyDescent="0.35">
      <c r="A84" s="7" t="s">
        <v>25</v>
      </c>
      <c r="B84" s="3">
        <v>5</v>
      </c>
      <c r="C84" s="7">
        <v>2026</v>
      </c>
      <c r="D84" s="8" t="s">
        <v>45</v>
      </c>
      <c r="E84" s="8" t="s">
        <v>46</v>
      </c>
      <c r="F84" s="8">
        <v>3</v>
      </c>
      <c r="G84" s="8" t="s">
        <v>128</v>
      </c>
      <c r="H84" s="8" t="s">
        <v>48</v>
      </c>
      <c r="I84" s="8"/>
      <c r="J84" s="8" t="s">
        <v>30</v>
      </c>
      <c r="K84" s="8" t="s">
        <v>31</v>
      </c>
      <c r="L84" s="9" t="s">
        <v>32</v>
      </c>
      <c r="M84" s="9" t="s">
        <v>2</v>
      </c>
    </row>
    <row r="85" spans="1:13" x14ac:dyDescent="0.35">
      <c r="A85" s="3" t="s">
        <v>25</v>
      </c>
      <c r="B85" s="3">
        <v>5</v>
      </c>
      <c r="C85" s="3">
        <v>2026</v>
      </c>
      <c r="D85" s="4" t="s">
        <v>45</v>
      </c>
      <c r="E85" s="4" t="s">
        <v>46</v>
      </c>
      <c r="F85" s="4">
        <v>3</v>
      </c>
      <c r="G85" s="4" t="s">
        <v>129</v>
      </c>
      <c r="H85" s="4" t="s">
        <v>48</v>
      </c>
      <c r="I85" s="4"/>
      <c r="J85" s="4" t="s">
        <v>30</v>
      </c>
      <c r="K85" s="4" t="s">
        <v>31</v>
      </c>
      <c r="L85" s="5" t="s">
        <v>32</v>
      </c>
      <c r="M85" s="5" t="s">
        <v>2</v>
      </c>
    </row>
    <row r="86" spans="1:13" x14ac:dyDescent="0.35">
      <c r="A86" s="7" t="s">
        <v>25</v>
      </c>
      <c r="B86" s="3">
        <v>5</v>
      </c>
      <c r="C86" s="7">
        <v>2026</v>
      </c>
      <c r="D86" s="8" t="s">
        <v>45</v>
      </c>
      <c r="E86" s="8" t="s">
        <v>46</v>
      </c>
      <c r="F86" s="8">
        <v>3</v>
      </c>
      <c r="G86" s="8" t="s">
        <v>130</v>
      </c>
      <c r="H86" s="8" t="s">
        <v>48</v>
      </c>
      <c r="I86" s="8"/>
      <c r="J86" s="8" t="s">
        <v>30</v>
      </c>
      <c r="K86" s="8" t="s">
        <v>31</v>
      </c>
      <c r="L86" s="9" t="s">
        <v>32</v>
      </c>
      <c r="M86" s="9" t="s">
        <v>2</v>
      </c>
    </row>
    <row r="87" spans="1:13" x14ac:dyDescent="0.35">
      <c r="A87" s="3" t="s">
        <v>25</v>
      </c>
      <c r="B87" s="3">
        <v>5</v>
      </c>
      <c r="C87" s="3">
        <v>2026</v>
      </c>
      <c r="D87" s="4" t="s">
        <v>45</v>
      </c>
      <c r="E87" s="4" t="s">
        <v>46</v>
      </c>
      <c r="F87" s="4">
        <v>3</v>
      </c>
      <c r="G87" s="4" t="s">
        <v>131</v>
      </c>
      <c r="H87" s="4" t="s">
        <v>48</v>
      </c>
      <c r="I87" s="4"/>
      <c r="J87" s="4" t="s">
        <v>30</v>
      </c>
      <c r="K87" s="4" t="s">
        <v>31</v>
      </c>
      <c r="L87" s="5" t="s">
        <v>32</v>
      </c>
      <c r="M87" s="5" t="s">
        <v>2</v>
      </c>
    </row>
    <row r="88" spans="1:13" x14ac:dyDescent="0.35">
      <c r="A88" s="7" t="s">
        <v>25</v>
      </c>
      <c r="B88" s="3">
        <v>5</v>
      </c>
      <c r="C88" s="7">
        <v>2026</v>
      </c>
      <c r="D88" s="8" t="s">
        <v>34</v>
      </c>
      <c r="E88" s="8" t="s">
        <v>60</v>
      </c>
      <c r="F88" s="8">
        <v>1</v>
      </c>
      <c r="G88" s="8" t="s">
        <v>132</v>
      </c>
      <c r="H88" s="8" t="s">
        <v>29</v>
      </c>
      <c r="I88" s="8"/>
      <c r="J88" s="8" t="s">
        <v>30</v>
      </c>
      <c r="K88" s="8" t="s">
        <v>31</v>
      </c>
      <c r="L88" s="9" t="s">
        <v>32</v>
      </c>
      <c r="M88" s="9" t="s">
        <v>7</v>
      </c>
    </row>
    <row r="89" spans="1:13" x14ac:dyDescent="0.35">
      <c r="A89" s="3" t="s">
        <v>25</v>
      </c>
      <c r="B89" s="3">
        <v>5</v>
      </c>
      <c r="C89" s="3">
        <v>2026</v>
      </c>
      <c r="D89" s="4" t="s">
        <v>34</v>
      </c>
      <c r="E89" s="4" t="s">
        <v>35</v>
      </c>
      <c r="F89" s="4">
        <v>1</v>
      </c>
      <c r="G89" s="4" t="s">
        <v>133</v>
      </c>
      <c r="H89" s="4" t="s">
        <v>29</v>
      </c>
      <c r="I89" s="4"/>
      <c r="J89" s="4" t="s">
        <v>30</v>
      </c>
      <c r="K89" s="4" t="s">
        <v>31</v>
      </c>
      <c r="L89" s="5" t="s">
        <v>32</v>
      </c>
      <c r="M89" s="5" t="s">
        <v>3</v>
      </c>
    </row>
    <row r="90" spans="1:13" x14ac:dyDescent="0.35">
      <c r="A90" s="7" t="s">
        <v>25</v>
      </c>
      <c r="B90" s="3">
        <v>5</v>
      </c>
      <c r="C90" s="7">
        <v>2026</v>
      </c>
      <c r="D90" s="8" t="s">
        <v>34</v>
      </c>
      <c r="E90" s="8" t="s">
        <v>41</v>
      </c>
      <c r="F90" s="8">
        <v>1</v>
      </c>
      <c r="G90" s="8" t="s">
        <v>134</v>
      </c>
      <c r="H90" s="8" t="s">
        <v>29</v>
      </c>
      <c r="I90" s="8"/>
      <c r="J90" s="8" t="s">
        <v>30</v>
      </c>
      <c r="K90" s="8" t="s">
        <v>31</v>
      </c>
      <c r="L90" s="9" t="s">
        <v>32</v>
      </c>
      <c r="M90" s="9" t="s">
        <v>4</v>
      </c>
    </row>
    <row r="91" spans="1:13" x14ac:dyDescent="0.35">
      <c r="A91" s="3" t="s">
        <v>25</v>
      </c>
      <c r="B91" s="3">
        <v>5</v>
      </c>
      <c r="C91" s="3">
        <v>2026</v>
      </c>
      <c r="D91" s="4" t="s">
        <v>34</v>
      </c>
      <c r="E91" s="4" t="s">
        <v>37</v>
      </c>
      <c r="F91" s="4">
        <v>3</v>
      </c>
      <c r="G91" s="4" t="s">
        <v>135</v>
      </c>
      <c r="H91" s="4" t="s">
        <v>29</v>
      </c>
      <c r="I91" s="4"/>
      <c r="J91" s="4" t="s">
        <v>30</v>
      </c>
      <c r="K91" s="4" t="s">
        <v>31</v>
      </c>
      <c r="L91" s="5" t="s">
        <v>32</v>
      </c>
      <c r="M91" s="5" t="s">
        <v>6</v>
      </c>
    </row>
    <row r="92" spans="1:13" x14ac:dyDescent="0.35">
      <c r="A92" s="7" t="s">
        <v>25</v>
      </c>
      <c r="B92" s="3">
        <v>5</v>
      </c>
      <c r="C92" s="7">
        <v>2026</v>
      </c>
      <c r="D92" s="8" t="s">
        <v>34</v>
      </c>
      <c r="E92" s="8" t="s">
        <v>35</v>
      </c>
      <c r="F92" s="8">
        <v>3</v>
      </c>
      <c r="G92" s="8" t="s">
        <v>136</v>
      </c>
      <c r="H92" s="8" t="s">
        <v>29</v>
      </c>
      <c r="I92" s="8"/>
      <c r="J92" s="8" t="s">
        <v>30</v>
      </c>
      <c r="K92" s="8" t="s">
        <v>31</v>
      </c>
      <c r="L92" s="9" t="s">
        <v>32</v>
      </c>
      <c r="M92" s="9" t="s">
        <v>3</v>
      </c>
    </row>
    <row r="93" spans="1:13" x14ac:dyDescent="0.35">
      <c r="A93" s="3" t="s">
        <v>25</v>
      </c>
      <c r="B93" s="3">
        <v>5</v>
      </c>
      <c r="C93" s="3">
        <v>2026</v>
      </c>
      <c r="D93" s="4" t="s">
        <v>34</v>
      </c>
      <c r="E93" s="4" t="s">
        <v>41</v>
      </c>
      <c r="F93" s="4">
        <v>3</v>
      </c>
      <c r="G93" s="4" t="s">
        <v>137</v>
      </c>
      <c r="H93" s="4" t="s">
        <v>29</v>
      </c>
      <c r="I93" s="4"/>
      <c r="J93" s="4" t="s">
        <v>30</v>
      </c>
      <c r="K93" s="4" t="s">
        <v>31</v>
      </c>
      <c r="L93" s="5" t="s">
        <v>32</v>
      </c>
      <c r="M93" s="5" t="s">
        <v>4</v>
      </c>
    </row>
    <row r="94" spans="1:13" x14ac:dyDescent="0.35">
      <c r="A94" s="7" t="s">
        <v>25</v>
      </c>
      <c r="B94" s="3">
        <v>5</v>
      </c>
      <c r="C94" s="7">
        <v>2026</v>
      </c>
      <c r="D94" s="8" t="s">
        <v>34</v>
      </c>
      <c r="E94" s="8" t="s">
        <v>49</v>
      </c>
      <c r="F94" s="8">
        <v>3</v>
      </c>
      <c r="G94" s="8" t="s">
        <v>138</v>
      </c>
      <c r="H94" s="8" t="s">
        <v>29</v>
      </c>
      <c r="I94" s="8"/>
      <c r="J94" s="8" t="s">
        <v>30</v>
      </c>
      <c r="K94" s="8" t="s">
        <v>31</v>
      </c>
      <c r="L94" s="9" t="s">
        <v>32</v>
      </c>
      <c r="M94" s="9" t="s">
        <v>8</v>
      </c>
    </row>
    <row r="95" spans="1:13" x14ac:dyDescent="0.35">
      <c r="A95" s="3" t="s">
        <v>25</v>
      </c>
      <c r="B95" s="3">
        <v>5</v>
      </c>
      <c r="C95" s="3">
        <v>2026</v>
      </c>
      <c r="D95" s="4" t="s">
        <v>34</v>
      </c>
      <c r="E95" s="4" t="s">
        <v>60</v>
      </c>
      <c r="F95" s="4">
        <v>3</v>
      </c>
      <c r="G95" s="4" t="s">
        <v>139</v>
      </c>
      <c r="H95" s="4" t="s">
        <v>29</v>
      </c>
      <c r="I95" s="4"/>
      <c r="J95" s="4" t="s">
        <v>30</v>
      </c>
      <c r="K95" s="4" t="s">
        <v>31</v>
      </c>
      <c r="L95" s="5" t="s">
        <v>32</v>
      </c>
      <c r="M95" s="5" t="s">
        <v>7</v>
      </c>
    </row>
    <row r="96" spans="1:13" x14ac:dyDescent="0.35">
      <c r="A96" s="7" t="s">
        <v>25</v>
      </c>
      <c r="B96" s="3">
        <v>5</v>
      </c>
      <c r="C96" s="7">
        <v>2026</v>
      </c>
      <c r="D96" s="8" t="s">
        <v>34</v>
      </c>
      <c r="E96" s="8" t="s">
        <v>37</v>
      </c>
      <c r="F96" s="8">
        <v>3</v>
      </c>
      <c r="G96" s="8" t="s">
        <v>140</v>
      </c>
      <c r="H96" s="8" t="s">
        <v>29</v>
      </c>
      <c r="I96" s="8"/>
      <c r="J96" s="8" t="s">
        <v>30</v>
      </c>
      <c r="K96" s="8" t="s">
        <v>31</v>
      </c>
      <c r="L96" s="9" t="s">
        <v>32</v>
      </c>
      <c r="M96" s="9" t="s">
        <v>6</v>
      </c>
    </row>
    <row r="97" spans="1:13" x14ac:dyDescent="0.35">
      <c r="A97" s="3" t="s">
        <v>25</v>
      </c>
      <c r="B97" s="3">
        <v>5</v>
      </c>
      <c r="C97" s="3">
        <v>2026</v>
      </c>
      <c r="D97" s="4" t="s">
        <v>34</v>
      </c>
      <c r="E97" s="4" t="s">
        <v>35</v>
      </c>
      <c r="F97" s="4">
        <v>2</v>
      </c>
      <c r="G97" s="4" t="s">
        <v>141</v>
      </c>
      <c r="H97" s="4" t="s">
        <v>29</v>
      </c>
      <c r="I97" s="4"/>
      <c r="J97" s="4" t="s">
        <v>30</v>
      </c>
      <c r="K97" s="4" t="s">
        <v>31</v>
      </c>
      <c r="L97" s="5" t="s">
        <v>32</v>
      </c>
      <c r="M97" s="5" t="s">
        <v>3</v>
      </c>
    </row>
    <row r="98" spans="1:13" x14ac:dyDescent="0.35">
      <c r="A98" s="7" t="s">
        <v>25</v>
      </c>
      <c r="B98" s="3">
        <v>5</v>
      </c>
      <c r="C98" s="7">
        <v>2026</v>
      </c>
      <c r="D98" s="8" t="s">
        <v>34</v>
      </c>
      <c r="E98" s="8" t="s">
        <v>35</v>
      </c>
      <c r="F98" s="8">
        <v>3</v>
      </c>
      <c r="G98" s="8" t="s">
        <v>142</v>
      </c>
      <c r="H98" s="8" t="s">
        <v>29</v>
      </c>
      <c r="I98" s="8"/>
      <c r="J98" s="8" t="s">
        <v>30</v>
      </c>
      <c r="K98" s="8" t="s">
        <v>31</v>
      </c>
      <c r="L98" s="9" t="s">
        <v>32</v>
      </c>
      <c r="M98" s="9" t="s">
        <v>3</v>
      </c>
    </row>
    <row r="99" spans="1:13" x14ac:dyDescent="0.35">
      <c r="A99" s="3" t="s">
        <v>25</v>
      </c>
      <c r="B99" s="3">
        <v>5</v>
      </c>
      <c r="C99" s="3">
        <v>2026</v>
      </c>
      <c r="D99" s="4" t="s">
        <v>34</v>
      </c>
      <c r="E99" s="4" t="s">
        <v>37</v>
      </c>
      <c r="F99" s="4">
        <v>3</v>
      </c>
      <c r="G99" s="4" t="s">
        <v>143</v>
      </c>
      <c r="H99" s="4" t="s">
        <v>29</v>
      </c>
      <c r="I99" s="4"/>
      <c r="J99" s="4" t="s">
        <v>30</v>
      </c>
      <c r="K99" s="4" t="s">
        <v>31</v>
      </c>
      <c r="L99" s="5" t="s">
        <v>32</v>
      </c>
      <c r="M99" s="5" t="s">
        <v>6</v>
      </c>
    </row>
    <row r="100" spans="1:13" x14ac:dyDescent="0.35">
      <c r="A100" s="7" t="s">
        <v>25</v>
      </c>
      <c r="B100" s="3">
        <v>5</v>
      </c>
      <c r="C100" s="7">
        <v>2026</v>
      </c>
      <c r="D100" s="8" t="s">
        <v>34</v>
      </c>
      <c r="E100" s="8" t="s">
        <v>37</v>
      </c>
      <c r="F100" s="8">
        <v>3</v>
      </c>
      <c r="G100" s="8" t="s">
        <v>144</v>
      </c>
      <c r="H100" s="8" t="s">
        <v>29</v>
      </c>
      <c r="I100" s="8"/>
      <c r="J100" s="8" t="s">
        <v>30</v>
      </c>
      <c r="K100" s="8" t="s">
        <v>31</v>
      </c>
      <c r="L100" s="9" t="s">
        <v>32</v>
      </c>
      <c r="M100" s="9" t="s">
        <v>6</v>
      </c>
    </row>
    <row r="101" spans="1:13" x14ac:dyDescent="0.35">
      <c r="A101" s="3" t="s">
        <v>25</v>
      </c>
      <c r="B101" s="3">
        <v>5</v>
      </c>
      <c r="C101" s="3">
        <v>2026</v>
      </c>
      <c r="D101" s="4" t="s">
        <v>34</v>
      </c>
      <c r="E101" s="4" t="s">
        <v>37</v>
      </c>
      <c r="F101" s="4">
        <v>3</v>
      </c>
      <c r="G101" s="4" t="s">
        <v>145</v>
      </c>
      <c r="H101" s="4" t="s">
        <v>29</v>
      </c>
      <c r="I101" s="4"/>
      <c r="J101" s="4" t="s">
        <v>30</v>
      </c>
      <c r="K101" s="4" t="s">
        <v>31</v>
      </c>
      <c r="L101" s="5" t="s">
        <v>32</v>
      </c>
      <c r="M101" s="5" t="s">
        <v>6</v>
      </c>
    </row>
  </sheetData>
  <conditionalFormatting sqref="G1:G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7E5F-6978-470B-BDD9-3528ACD7585B}">
  <dimension ref="A1:L101"/>
  <sheetViews>
    <sheetView tabSelected="1" topLeftCell="D89" workbookViewId="0">
      <selection activeCell="F2" sqref="F2:G6"/>
    </sheetView>
  </sheetViews>
  <sheetFormatPr baseColWidth="10" defaultColWidth="11.453125" defaultRowHeight="14.5" x14ac:dyDescent="0.35"/>
  <cols>
    <col min="1" max="1" width="5.26953125" bestFit="1" customWidth="1"/>
    <col min="2" max="2" width="10.81640625" bestFit="1" customWidth="1"/>
    <col min="3" max="3" width="5" bestFit="1" customWidth="1"/>
    <col min="4" max="4" width="9.81640625" bestFit="1" customWidth="1"/>
    <col min="5" max="5" width="9" bestFit="1" customWidth="1"/>
    <col min="6" max="6" width="37.26953125" bestFit="1" customWidth="1"/>
    <col min="7" max="7" width="34" bestFit="1" customWidth="1"/>
  </cols>
  <sheetData>
    <row r="1" spans="1:12" ht="36" x14ac:dyDescent="0.35">
      <c r="A1" s="1" t="s">
        <v>12</v>
      </c>
      <c r="B1" s="1" t="s">
        <v>13</v>
      </c>
      <c r="C1" s="1" t="s">
        <v>14</v>
      </c>
      <c r="D1" s="1" t="s">
        <v>17</v>
      </c>
      <c r="E1" s="1" t="s">
        <v>18</v>
      </c>
      <c r="F1" s="2" t="s">
        <v>24</v>
      </c>
      <c r="G1" s="1" t="s">
        <v>146</v>
      </c>
      <c r="J1">
        <v>53</v>
      </c>
      <c r="K1">
        <v>30</v>
      </c>
      <c r="L1">
        <v>29</v>
      </c>
    </row>
    <row r="2" spans="1:12" x14ac:dyDescent="0.35">
      <c r="A2" s="3" t="s">
        <v>25</v>
      </c>
      <c r="B2" s="3">
        <v>5</v>
      </c>
      <c r="C2" s="3">
        <v>2026</v>
      </c>
      <c r="D2" s="4">
        <v>2</v>
      </c>
      <c r="E2" s="4" t="s">
        <v>28</v>
      </c>
      <c r="F2" s="5" t="s">
        <v>5</v>
      </c>
      <c r="G2" t="str">
        <f>_xlfn.XLOOKUP(E2,Hoja3!A:A,Hoja3!E:E)</f>
        <v>JUAN CARLOS RAMIREZ SIBRIAN</v>
      </c>
    </row>
    <row r="3" spans="1:12" x14ac:dyDescent="0.35">
      <c r="A3" s="7" t="s">
        <v>25</v>
      </c>
      <c r="B3" s="3">
        <v>5</v>
      </c>
      <c r="C3" s="7">
        <v>2026</v>
      </c>
      <c r="D3" s="8">
        <v>2</v>
      </c>
      <c r="E3" s="8" t="s">
        <v>33</v>
      </c>
      <c r="F3" s="9" t="s">
        <v>5</v>
      </c>
      <c r="G3" t="str">
        <f>_xlfn.XLOOKUP(E3,Hoja3!A:A,Hoja3!E:E)</f>
        <v>JUAN CARLOS RAMIREZ SIBRIAN</v>
      </c>
    </row>
    <row r="4" spans="1:12" x14ac:dyDescent="0.35">
      <c r="A4" s="3" t="s">
        <v>25</v>
      </c>
      <c r="B4" s="3">
        <v>5</v>
      </c>
      <c r="C4" s="3">
        <v>2026</v>
      </c>
      <c r="D4" s="4">
        <v>3</v>
      </c>
      <c r="E4" s="4" t="s">
        <v>36</v>
      </c>
      <c r="F4" s="5" t="s">
        <v>3</v>
      </c>
      <c r="G4" t="str">
        <f>_xlfn.XLOOKUP(E4,Hoja3!A:A,Hoja3!E:E)</f>
        <v>KASSANDRA GUADALUPE HERNANDEZ</v>
      </c>
    </row>
    <row r="5" spans="1:12" x14ac:dyDescent="0.35">
      <c r="A5" s="7" t="s">
        <v>25</v>
      </c>
      <c r="B5" s="3">
        <v>5</v>
      </c>
      <c r="C5" s="7">
        <v>2026</v>
      </c>
      <c r="D5" s="8">
        <v>3</v>
      </c>
      <c r="E5" s="8" t="s">
        <v>38</v>
      </c>
      <c r="F5" s="9" t="s">
        <v>6</v>
      </c>
      <c r="G5" t="str">
        <f>_xlfn.XLOOKUP(E5,Hoja3!A:A,Hoja3!E:E)</f>
        <v>JUAN CARLOS RAMIREZ SIBRIAN</v>
      </c>
    </row>
    <row r="6" spans="1:12" x14ac:dyDescent="0.35">
      <c r="A6" s="3" t="s">
        <v>25</v>
      </c>
      <c r="B6" s="3">
        <v>5</v>
      </c>
      <c r="C6" s="3">
        <v>2026</v>
      </c>
      <c r="D6" s="4">
        <v>2</v>
      </c>
      <c r="E6" s="4" t="s">
        <v>40</v>
      </c>
      <c r="F6" s="5" t="s">
        <v>9</v>
      </c>
      <c r="G6" t="str">
        <f>_xlfn.XLOOKUP(E6,Hoja3!A:A,Hoja3!E:E)</f>
        <v>ELMER NEFTALI FIGUEROA</v>
      </c>
    </row>
    <row r="7" spans="1:12" x14ac:dyDescent="0.35">
      <c r="A7" s="7" t="s">
        <v>25</v>
      </c>
      <c r="B7" s="3">
        <v>5</v>
      </c>
      <c r="C7" s="7">
        <v>2026</v>
      </c>
      <c r="D7" s="8">
        <v>2</v>
      </c>
      <c r="E7" s="8" t="s">
        <v>42</v>
      </c>
      <c r="F7" s="9" t="s">
        <v>4</v>
      </c>
      <c r="G7" t="str">
        <f>_xlfn.XLOOKUP(E7,Hoja3!A:A,Hoja3!E:E)</f>
        <v>BRYAN ADONIS GALDÁMEZ SALAZAR</v>
      </c>
    </row>
    <row r="8" spans="1:12" x14ac:dyDescent="0.35">
      <c r="A8" s="3" t="s">
        <v>25</v>
      </c>
      <c r="B8" s="3">
        <v>5</v>
      </c>
      <c r="C8" s="3">
        <v>2026</v>
      </c>
      <c r="D8" s="4">
        <v>3</v>
      </c>
      <c r="E8" s="4" t="s">
        <v>43</v>
      </c>
      <c r="F8" s="5" t="s">
        <v>6</v>
      </c>
      <c r="G8" t="str">
        <f>_xlfn.XLOOKUP(E8,Hoja3!A:A,Hoja3!E:E)</f>
        <v>JUAN CARLOS RAMIREZ SIBRIAN</v>
      </c>
    </row>
    <row r="9" spans="1:12" x14ac:dyDescent="0.35">
      <c r="A9" s="7" t="s">
        <v>25</v>
      </c>
      <c r="B9" s="3">
        <v>5</v>
      </c>
      <c r="C9" s="7">
        <v>2026</v>
      </c>
      <c r="D9" s="8">
        <v>2</v>
      </c>
      <c r="E9" s="8" t="s">
        <v>44</v>
      </c>
      <c r="F9" s="9" t="s">
        <v>4</v>
      </c>
      <c r="G9" t="str">
        <f>_xlfn.XLOOKUP(E9,Hoja3!A:A,Hoja3!E:E)</f>
        <v>BRYAN ADONIS GALDÁMEZ SALAZAR</v>
      </c>
    </row>
    <row r="10" spans="1:12" x14ac:dyDescent="0.35">
      <c r="A10" s="3" t="s">
        <v>25</v>
      </c>
      <c r="B10" s="3">
        <v>5</v>
      </c>
      <c r="C10" s="3">
        <v>2026</v>
      </c>
      <c r="D10" s="4">
        <v>3</v>
      </c>
      <c r="E10" s="4" t="s">
        <v>47</v>
      </c>
      <c r="F10" s="5" t="s">
        <v>2</v>
      </c>
      <c r="G10" t="str">
        <f>_xlfn.XLOOKUP(E10,Hoja3!A:A,Hoja3!E:E)</f>
        <v>JOSE ALEXANDER GARCIA SAÑA</v>
      </c>
    </row>
    <row r="11" spans="1:12" x14ac:dyDescent="0.35">
      <c r="A11" s="7" t="s">
        <v>25</v>
      </c>
      <c r="B11" s="3">
        <v>5</v>
      </c>
      <c r="C11" s="7">
        <v>2026</v>
      </c>
      <c r="D11" s="8">
        <v>2</v>
      </c>
      <c r="E11" s="8" t="s">
        <v>50</v>
      </c>
      <c r="F11" s="9" t="s">
        <v>8</v>
      </c>
      <c r="G11" t="str">
        <f>_xlfn.XLOOKUP(E11,Hoja3!A:A,Hoja3!E:E)</f>
        <v>BRYAN ADONIS GALDÁMEZ SALAZAR</v>
      </c>
    </row>
    <row r="12" spans="1:12" x14ac:dyDescent="0.35">
      <c r="A12" s="3" t="s">
        <v>25</v>
      </c>
      <c r="B12" s="3">
        <v>5</v>
      </c>
      <c r="C12" s="3">
        <v>2026</v>
      </c>
      <c r="D12" s="4">
        <v>3</v>
      </c>
      <c r="E12" s="4" t="s">
        <v>51</v>
      </c>
      <c r="F12" s="5" t="s">
        <v>4</v>
      </c>
      <c r="G12" t="str">
        <f>_xlfn.XLOOKUP(E12,Hoja3!A:A,Hoja3!E:E)</f>
        <v>BRYAN ADONIS GALDÁMEZ SALAZAR</v>
      </c>
    </row>
    <row r="13" spans="1:12" x14ac:dyDescent="0.35">
      <c r="A13" s="7" t="s">
        <v>25</v>
      </c>
      <c r="B13" s="3">
        <v>5</v>
      </c>
      <c r="C13" s="7">
        <v>2026</v>
      </c>
      <c r="D13" s="8">
        <v>3</v>
      </c>
      <c r="E13" s="8" t="s">
        <v>52</v>
      </c>
      <c r="F13" s="9" t="s">
        <v>3</v>
      </c>
      <c r="G13" t="str">
        <f>_xlfn.XLOOKUP(E13,Hoja3!A:A,Hoja3!E:E)</f>
        <v>KASSANDRA GUADALUPE HERNANDEZ</v>
      </c>
    </row>
    <row r="14" spans="1:12" x14ac:dyDescent="0.35">
      <c r="A14" s="3" t="s">
        <v>25</v>
      </c>
      <c r="B14" s="3">
        <v>5</v>
      </c>
      <c r="C14" s="3">
        <v>2026</v>
      </c>
      <c r="D14" s="4">
        <v>3</v>
      </c>
      <c r="E14" s="4" t="s">
        <v>54</v>
      </c>
      <c r="F14" s="5" t="s">
        <v>5</v>
      </c>
      <c r="G14" t="str">
        <f>_xlfn.XLOOKUP(E14,Hoja3!A:A,Hoja3!E:E)</f>
        <v>JUAN CARLOS RAMIREZ SIBRIAN</v>
      </c>
    </row>
    <row r="15" spans="1:12" x14ac:dyDescent="0.35">
      <c r="A15" s="7" t="s">
        <v>25</v>
      </c>
      <c r="B15" s="3">
        <v>5</v>
      </c>
      <c r="C15" s="7">
        <v>2026</v>
      </c>
      <c r="D15" s="8">
        <v>3</v>
      </c>
      <c r="E15" s="8" t="s">
        <v>55</v>
      </c>
      <c r="F15" s="9" t="s">
        <v>3</v>
      </c>
      <c r="G15" t="str">
        <f>_xlfn.XLOOKUP(E15,Hoja3!A:A,Hoja3!E:E)</f>
        <v>KASSANDRA GUADALUPE HERNANDEZ</v>
      </c>
    </row>
    <row r="16" spans="1:12" x14ac:dyDescent="0.35">
      <c r="A16" s="3" t="s">
        <v>25</v>
      </c>
      <c r="B16" s="3">
        <v>5</v>
      </c>
      <c r="C16" s="3">
        <v>2026</v>
      </c>
      <c r="D16" s="4">
        <v>3</v>
      </c>
      <c r="E16" s="4" t="s">
        <v>56</v>
      </c>
      <c r="F16" s="5" t="s">
        <v>2</v>
      </c>
      <c r="G16" t="str">
        <f>_xlfn.XLOOKUP(E16,Hoja3!A:A,Hoja3!E:E)</f>
        <v>JOSE ALEXANDER GARCIA SAÑA</v>
      </c>
    </row>
    <row r="17" spans="1:7" x14ac:dyDescent="0.35">
      <c r="A17" s="7" t="s">
        <v>25</v>
      </c>
      <c r="B17" s="3">
        <v>5</v>
      </c>
      <c r="C17" s="7">
        <v>2026</v>
      </c>
      <c r="D17" s="8">
        <v>3</v>
      </c>
      <c r="E17" s="8" t="s">
        <v>57</v>
      </c>
      <c r="F17" s="9" t="s">
        <v>9</v>
      </c>
      <c r="G17" t="str">
        <f>_xlfn.XLOOKUP(E17,Hoja3!A:A,Hoja3!E:E)</f>
        <v>ELMER NEFTALI FIGUEROA</v>
      </c>
    </row>
    <row r="18" spans="1:7" x14ac:dyDescent="0.35">
      <c r="A18" s="3" t="s">
        <v>25</v>
      </c>
      <c r="B18" s="3">
        <v>5</v>
      </c>
      <c r="C18" s="3">
        <v>2026</v>
      </c>
      <c r="D18" s="4">
        <v>3</v>
      </c>
      <c r="E18" s="4" t="s">
        <v>58</v>
      </c>
      <c r="F18" s="5" t="s">
        <v>8</v>
      </c>
      <c r="G18" t="str">
        <f>_xlfn.XLOOKUP(E18,Hoja3!A:A,Hoja3!E:E)</f>
        <v>BRYAN ADONIS GALDÁMEZ SALAZAR</v>
      </c>
    </row>
    <row r="19" spans="1:7" x14ac:dyDescent="0.35">
      <c r="A19" s="7" t="s">
        <v>25</v>
      </c>
      <c r="B19" s="3">
        <v>5</v>
      </c>
      <c r="C19" s="7">
        <v>2026</v>
      </c>
      <c r="D19" s="8">
        <v>2</v>
      </c>
      <c r="E19" s="8" t="s">
        <v>59</v>
      </c>
      <c r="F19" s="9" t="s">
        <v>9</v>
      </c>
      <c r="G19" t="str">
        <f>_xlfn.XLOOKUP(E19,Hoja3!A:A,Hoja3!E:E)</f>
        <v>ELMER NEFTALI FIGUEROA</v>
      </c>
    </row>
    <row r="20" spans="1:7" x14ac:dyDescent="0.35">
      <c r="A20" s="3" t="s">
        <v>25</v>
      </c>
      <c r="B20" s="3">
        <v>5</v>
      </c>
      <c r="C20" s="3">
        <v>2026</v>
      </c>
      <c r="D20" s="4">
        <v>3</v>
      </c>
      <c r="E20" s="4" t="s">
        <v>61</v>
      </c>
      <c r="F20" s="5" t="s">
        <v>7</v>
      </c>
      <c r="G20" t="str">
        <f>_xlfn.XLOOKUP(E20,Hoja3!A:A,Hoja3!E:E)</f>
        <v>KASSANDRA GUADALUPE HERNANDEZ</v>
      </c>
    </row>
    <row r="21" spans="1:7" x14ac:dyDescent="0.35">
      <c r="A21" s="7" t="s">
        <v>25</v>
      </c>
      <c r="B21" s="3">
        <v>5</v>
      </c>
      <c r="C21" s="7">
        <v>2026</v>
      </c>
      <c r="D21" s="8">
        <v>3</v>
      </c>
      <c r="E21" s="8" t="s">
        <v>62</v>
      </c>
      <c r="F21" s="9" t="s">
        <v>4</v>
      </c>
      <c r="G21" t="str">
        <f>_xlfn.XLOOKUP(E21,Hoja3!A:A,Hoja3!E:E)</f>
        <v>BRYAN ADONIS GALDÁMEZ SALAZAR</v>
      </c>
    </row>
    <row r="22" spans="1:7" x14ac:dyDescent="0.35">
      <c r="A22" s="3" t="s">
        <v>25</v>
      </c>
      <c r="B22" s="3">
        <v>5</v>
      </c>
      <c r="C22" s="3">
        <v>2026</v>
      </c>
      <c r="D22" s="4">
        <v>3</v>
      </c>
      <c r="E22" s="4" t="s">
        <v>63</v>
      </c>
      <c r="F22" s="5" t="s">
        <v>8</v>
      </c>
      <c r="G22" t="str">
        <f>_xlfn.XLOOKUP(E22,Hoja3!A:A,Hoja3!E:E)</f>
        <v>BRYAN ADONIS GALDÁMEZ SALAZAR</v>
      </c>
    </row>
    <row r="23" spans="1:7" x14ac:dyDescent="0.35">
      <c r="A23" s="7" t="s">
        <v>25</v>
      </c>
      <c r="B23" s="3">
        <v>5</v>
      </c>
      <c r="C23" s="7">
        <v>2026</v>
      </c>
      <c r="D23" s="8">
        <v>3</v>
      </c>
      <c r="E23" s="8" t="s">
        <v>64</v>
      </c>
      <c r="F23" s="9" t="s">
        <v>4</v>
      </c>
      <c r="G23" t="str">
        <f>_xlfn.XLOOKUP(E23,Hoja3!A:A,Hoja3!E:E)</f>
        <v>BRYAN ADONIS GALDÁMEZ SALAZAR</v>
      </c>
    </row>
    <row r="24" spans="1:7" x14ac:dyDescent="0.35">
      <c r="A24" s="3" t="s">
        <v>25</v>
      </c>
      <c r="B24" s="3">
        <v>5</v>
      </c>
      <c r="C24" s="3">
        <v>2026</v>
      </c>
      <c r="D24" s="4">
        <v>3</v>
      </c>
      <c r="E24" s="4" t="s">
        <v>65</v>
      </c>
      <c r="F24" s="5" t="s">
        <v>8</v>
      </c>
      <c r="G24" t="str">
        <f>_xlfn.XLOOKUP(E24,Hoja3!A:A,Hoja3!E:E)</f>
        <v>BRYAN ADONIS GALDÁMEZ SALAZAR</v>
      </c>
    </row>
    <row r="25" spans="1:7" x14ac:dyDescent="0.35">
      <c r="A25" s="3" t="s">
        <v>25</v>
      </c>
      <c r="B25" s="3">
        <v>5</v>
      </c>
      <c r="C25" s="3">
        <v>2026</v>
      </c>
      <c r="D25" s="4">
        <v>3</v>
      </c>
      <c r="E25" s="4" t="s">
        <v>66</v>
      </c>
      <c r="F25" s="5" t="s">
        <v>7</v>
      </c>
      <c r="G25" t="str">
        <f>_xlfn.XLOOKUP(E25,Hoja3!A:A,Hoja3!E:E)</f>
        <v>KASSANDRA GUADALUPE HERNANDEZ</v>
      </c>
    </row>
    <row r="26" spans="1:7" x14ac:dyDescent="0.35">
      <c r="A26" s="7" t="s">
        <v>25</v>
      </c>
      <c r="B26" s="3">
        <v>5</v>
      </c>
      <c r="C26" s="7">
        <v>2026</v>
      </c>
      <c r="D26" s="8">
        <v>2</v>
      </c>
      <c r="E26" s="8" t="s">
        <v>68</v>
      </c>
      <c r="F26" s="9" t="s">
        <v>5</v>
      </c>
      <c r="G26" t="str">
        <f>_xlfn.XLOOKUP(E26,Hoja3!A:A,Hoja3!E:E)</f>
        <v>JUAN CARLOS RAMIREZ SIBRIAN</v>
      </c>
    </row>
    <row r="27" spans="1:7" x14ac:dyDescent="0.35">
      <c r="A27" s="3" t="s">
        <v>25</v>
      </c>
      <c r="B27" s="3">
        <v>5</v>
      </c>
      <c r="C27" s="3">
        <v>2026</v>
      </c>
      <c r="D27" s="4">
        <v>3</v>
      </c>
      <c r="E27" s="4" t="s">
        <v>69</v>
      </c>
      <c r="F27" s="5" t="s">
        <v>3</v>
      </c>
      <c r="G27" t="str">
        <f>_xlfn.XLOOKUP(E27,Hoja3!A:A,Hoja3!E:E)</f>
        <v>KASSANDRA GUADALUPE HERNANDEZ</v>
      </c>
    </row>
    <row r="28" spans="1:7" x14ac:dyDescent="0.35">
      <c r="A28" s="7" t="s">
        <v>25</v>
      </c>
      <c r="B28" s="3">
        <v>5</v>
      </c>
      <c r="C28" s="7">
        <v>2026</v>
      </c>
      <c r="D28" s="8">
        <v>3</v>
      </c>
      <c r="E28" s="8" t="s">
        <v>70</v>
      </c>
      <c r="F28" s="9" t="s">
        <v>3</v>
      </c>
      <c r="G28" t="str">
        <f>_xlfn.XLOOKUP(E28,Hoja3!A:A,Hoja3!E:E)</f>
        <v>KASSANDRA GUADALUPE HERNANDEZ</v>
      </c>
    </row>
    <row r="29" spans="1:7" x14ac:dyDescent="0.35">
      <c r="A29" s="3" t="s">
        <v>25</v>
      </c>
      <c r="B29" s="3">
        <v>5</v>
      </c>
      <c r="C29" s="3">
        <v>2026</v>
      </c>
      <c r="D29" s="4">
        <v>3</v>
      </c>
      <c r="E29" s="4" t="s">
        <v>71</v>
      </c>
      <c r="F29" s="5" t="s">
        <v>3</v>
      </c>
      <c r="G29" t="str">
        <f>_xlfn.XLOOKUP(E29,Hoja3!A:A,Hoja3!E:E)</f>
        <v>KASSANDRA GUADALUPE HERNANDEZ</v>
      </c>
    </row>
    <row r="30" spans="1:7" x14ac:dyDescent="0.35">
      <c r="A30" s="7" t="s">
        <v>25</v>
      </c>
      <c r="B30" s="3">
        <v>5</v>
      </c>
      <c r="C30" s="7">
        <v>2026</v>
      </c>
      <c r="D30" s="8">
        <v>2</v>
      </c>
      <c r="E30" s="8" t="s">
        <v>72</v>
      </c>
      <c r="F30" s="9" t="s">
        <v>8</v>
      </c>
      <c r="G30" t="str">
        <f>_xlfn.XLOOKUP(E30,Hoja3!A:A,Hoja3!E:E)</f>
        <v>BRYAN ADONIS GALDÁMEZ SALAZAR</v>
      </c>
    </row>
    <row r="31" spans="1:7" x14ac:dyDescent="0.35">
      <c r="A31" s="3" t="s">
        <v>25</v>
      </c>
      <c r="B31" s="3">
        <v>5</v>
      </c>
      <c r="C31" s="3">
        <v>2026</v>
      </c>
      <c r="D31" s="4">
        <v>3</v>
      </c>
      <c r="E31" s="4" t="s">
        <v>74</v>
      </c>
      <c r="F31" s="5" t="s">
        <v>10</v>
      </c>
      <c r="G31" t="str">
        <f>_xlfn.XLOOKUP(E31,Hoja3!A:A,Hoja3!E:E)</f>
        <v>ELMER NEFTALI FIGUEROA</v>
      </c>
    </row>
    <row r="32" spans="1:7" x14ac:dyDescent="0.35">
      <c r="A32" s="7" t="s">
        <v>25</v>
      </c>
      <c r="B32" s="3">
        <v>5</v>
      </c>
      <c r="C32" s="7">
        <v>2026</v>
      </c>
      <c r="D32" s="8">
        <v>2</v>
      </c>
      <c r="E32" s="8" t="s">
        <v>75</v>
      </c>
      <c r="F32" s="9" t="s">
        <v>5</v>
      </c>
      <c r="G32" t="str">
        <f>_xlfn.XLOOKUP(E32,Hoja3!A:A,Hoja3!E:E)</f>
        <v>JUAN CARLOS RAMIREZ SIBRIAN</v>
      </c>
    </row>
    <row r="33" spans="1:7" x14ac:dyDescent="0.35">
      <c r="A33" s="3" t="s">
        <v>25</v>
      </c>
      <c r="B33" s="3">
        <v>5</v>
      </c>
      <c r="C33" s="3">
        <v>2026</v>
      </c>
      <c r="D33" s="4">
        <v>2</v>
      </c>
      <c r="E33" s="4" t="s">
        <v>76</v>
      </c>
      <c r="F33" s="5" t="s">
        <v>6</v>
      </c>
      <c r="G33" t="str">
        <f>_xlfn.XLOOKUP(E33,Hoja3!A:A,Hoja3!E:E)</f>
        <v>JUAN CARLOS RAMIREZ SIBRIAN</v>
      </c>
    </row>
    <row r="34" spans="1:7" x14ac:dyDescent="0.35">
      <c r="A34" s="7" t="s">
        <v>25</v>
      </c>
      <c r="B34" s="3">
        <v>5</v>
      </c>
      <c r="C34" s="7">
        <v>2026</v>
      </c>
      <c r="D34" s="8">
        <v>2</v>
      </c>
      <c r="E34" s="8" t="s">
        <v>77</v>
      </c>
      <c r="F34" s="9" t="s">
        <v>5</v>
      </c>
      <c r="G34" t="str">
        <f>_xlfn.XLOOKUP(E34,Hoja3!A:A,Hoja3!E:E)</f>
        <v>JUAN CARLOS RAMIREZ SIBRIAN</v>
      </c>
    </row>
    <row r="35" spans="1:7" x14ac:dyDescent="0.35">
      <c r="A35" s="3" t="s">
        <v>25</v>
      </c>
      <c r="B35" s="3">
        <v>5</v>
      </c>
      <c r="C35" s="3">
        <v>2026</v>
      </c>
      <c r="D35" s="4">
        <v>3</v>
      </c>
      <c r="E35" s="4" t="s">
        <v>79</v>
      </c>
      <c r="F35" s="5" t="s">
        <v>5</v>
      </c>
      <c r="G35" t="str">
        <f>_xlfn.XLOOKUP(E35,Hoja3!A:A,Hoja3!E:E)</f>
        <v>JUAN CARLOS RAMIREZ SIBRIAN</v>
      </c>
    </row>
    <row r="36" spans="1:7" x14ac:dyDescent="0.35">
      <c r="A36" s="7" t="s">
        <v>25</v>
      </c>
      <c r="B36" s="3">
        <v>5</v>
      </c>
      <c r="C36" s="7">
        <v>2026</v>
      </c>
      <c r="D36" s="8">
        <v>3</v>
      </c>
      <c r="E36" s="8" t="s">
        <v>80</v>
      </c>
      <c r="F36" s="9" t="s">
        <v>5</v>
      </c>
      <c r="G36" t="str">
        <f>_xlfn.XLOOKUP(E36,Hoja3!A:A,Hoja3!E:E)</f>
        <v>JUAN CARLOS RAMIREZ SIBRIAN</v>
      </c>
    </row>
    <row r="37" spans="1:7" x14ac:dyDescent="0.35">
      <c r="A37" s="3" t="s">
        <v>25</v>
      </c>
      <c r="B37" s="3">
        <v>5</v>
      </c>
      <c r="C37" s="3">
        <v>2026</v>
      </c>
      <c r="D37" s="4">
        <v>3</v>
      </c>
      <c r="E37" s="4" t="s">
        <v>81</v>
      </c>
      <c r="F37" s="5" t="s">
        <v>2</v>
      </c>
      <c r="G37" t="str">
        <f>_xlfn.XLOOKUP(E37,Hoja3!A:A,Hoja3!E:E)</f>
        <v>JUAN CARLOS RAMIREZ SIBRIAN</v>
      </c>
    </row>
    <row r="38" spans="1:7" x14ac:dyDescent="0.35">
      <c r="A38" s="7" t="s">
        <v>25</v>
      </c>
      <c r="B38" s="3">
        <v>5</v>
      </c>
      <c r="C38" s="7">
        <v>2026</v>
      </c>
      <c r="D38" s="8">
        <v>2</v>
      </c>
      <c r="E38" s="8" t="s">
        <v>82</v>
      </c>
      <c r="F38" s="9" t="s">
        <v>6</v>
      </c>
      <c r="G38" t="str">
        <f>_xlfn.XLOOKUP(E38,Hoja3!A:A,Hoja3!E:E)</f>
        <v>JUAN CARLOS RAMIREZ SIBRIAN</v>
      </c>
    </row>
    <row r="39" spans="1:7" x14ac:dyDescent="0.35">
      <c r="A39" s="3" t="s">
        <v>25</v>
      </c>
      <c r="B39" s="3">
        <v>5</v>
      </c>
      <c r="C39" s="3">
        <v>2026</v>
      </c>
      <c r="D39" s="4">
        <v>3</v>
      </c>
      <c r="E39" s="4" t="s">
        <v>83</v>
      </c>
      <c r="F39" s="5" t="s">
        <v>2</v>
      </c>
      <c r="G39" t="str">
        <f>_xlfn.XLOOKUP(E39,Hoja3!A:A,Hoja3!E:E)</f>
        <v>JOSE ALEXANDER GARCIA SAÑA</v>
      </c>
    </row>
    <row r="40" spans="1:7" x14ac:dyDescent="0.35">
      <c r="A40" s="7" t="s">
        <v>25</v>
      </c>
      <c r="B40" s="3">
        <v>5</v>
      </c>
      <c r="C40" s="7">
        <v>2026</v>
      </c>
      <c r="D40" s="8">
        <v>3</v>
      </c>
      <c r="E40" s="8" t="s">
        <v>84</v>
      </c>
      <c r="F40" s="9" t="s">
        <v>3</v>
      </c>
      <c r="G40" t="str">
        <f>_xlfn.XLOOKUP(E40,Hoja3!A:A,Hoja3!E:E)</f>
        <v>KASSANDRA GUADALUPE HERNANDEZ</v>
      </c>
    </row>
    <row r="41" spans="1:7" x14ac:dyDescent="0.35">
      <c r="A41" s="7" t="s">
        <v>25</v>
      </c>
      <c r="B41" s="3">
        <v>5</v>
      </c>
      <c r="C41" s="7">
        <v>2026</v>
      </c>
      <c r="D41" s="8">
        <v>3</v>
      </c>
      <c r="E41" s="8" t="s">
        <v>85</v>
      </c>
      <c r="F41" s="9" t="s">
        <v>7</v>
      </c>
      <c r="G41" t="str">
        <f>_xlfn.XLOOKUP(E41,Hoja3!A:A,Hoja3!E:E)</f>
        <v>KASSANDRA GUADALUPE HERNANDEZ</v>
      </c>
    </row>
    <row r="42" spans="1:7" x14ac:dyDescent="0.35">
      <c r="A42" s="3" t="s">
        <v>25</v>
      </c>
      <c r="B42" s="3">
        <v>5</v>
      </c>
      <c r="C42" s="3">
        <v>2026</v>
      </c>
      <c r="D42" s="4">
        <v>3</v>
      </c>
      <c r="E42" s="4" t="s">
        <v>86</v>
      </c>
      <c r="F42" s="5" t="s">
        <v>4</v>
      </c>
      <c r="G42" t="str">
        <f>_xlfn.XLOOKUP(E42,Hoja3!A:A,Hoja3!E:E)</f>
        <v>BRYAN ADONIS GALDÁMEZ SALAZAR</v>
      </c>
    </row>
    <row r="43" spans="1:7" x14ac:dyDescent="0.35">
      <c r="A43" s="7" t="s">
        <v>25</v>
      </c>
      <c r="B43" s="3">
        <v>5</v>
      </c>
      <c r="C43" s="7">
        <v>2026</v>
      </c>
      <c r="D43" s="8">
        <v>3</v>
      </c>
      <c r="E43" s="8" t="s">
        <v>87</v>
      </c>
      <c r="F43" s="9" t="s">
        <v>5</v>
      </c>
      <c r="G43" t="str">
        <f>_xlfn.XLOOKUP(E43,Hoja3!A:A,Hoja3!E:E)</f>
        <v>JUAN CARLOS RAMIREZ SIBRIAN</v>
      </c>
    </row>
    <row r="44" spans="1:7" x14ac:dyDescent="0.35">
      <c r="A44" s="3" t="s">
        <v>25</v>
      </c>
      <c r="B44" s="3">
        <v>5</v>
      </c>
      <c r="C44" s="3">
        <v>2026</v>
      </c>
      <c r="D44" s="4">
        <v>3</v>
      </c>
      <c r="E44" s="4" t="s">
        <v>88</v>
      </c>
      <c r="F44" s="5" t="s">
        <v>9</v>
      </c>
      <c r="G44" t="str">
        <f>_xlfn.XLOOKUP(E44,Hoja3!A:A,Hoja3!E:E)</f>
        <v>ELMER NEFTALI FIGUEROA</v>
      </c>
    </row>
    <row r="45" spans="1:7" x14ac:dyDescent="0.35">
      <c r="A45" s="7" t="s">
        <v>25</v>
      </c>
      <c r="B45" s="3">
        <v>5</v>
      </c>
      <c r="C45" s="7">
        <v>2026</v>
      </c>
      <c r="D45" s="8">
        <v>3</v>
      </c>
      <c r="E45" s="8" t="s">
        <v>89</v>
      </c>
      <c r="F45" s="9" t="s">
        <v>10</v>
      </c>
      <c r="G45" t="str">
        <f>_xlfn.XLOOKUP(E45,Hoja3!A:A,Hoja3!E:E)</f>
        <v>ELMER NEFTALI FIGUEROA</v>
      </c>
    </row>
    <row r="46" spans="1:7" x14ac:dyDescent="0.35">
      <c r="A46" s="3" t="s">
        <v>25</v>
      </c>
      <c r="B46" s="3">
        <v>5</v>
      </c>
      <c r="C46" s="3">
        <v>2026</v>
      </c>
      <c r="D46" s="4">
        <v>3</v>
      </c>
      <c r="E46" s="4" t="s">
        <v>90</v>
      </c>
      <c r="F46" s="5" t="s">
        <v>2</v>
      </c>
      <c r="G46" t="str">
        <f>_xlfn.XLOOKUP(E46,Hoja3!A:A,Hoja3!E:E)</f>
        <v>JOSE ALEXANDER GARCIA SAÑA</v>
      </c>
    </row>
    <row r="47" spans="1:7" x14ac:dyDescent="0.35">
      <c r="A47" s="7" t="s">
        <v>25</v>
      </c>
      <c r="B47" s="3">
        <v>5</v>
      </c>
      <c r="C47" s="7">
        <v>2026</v>
      </c>
      <c r="D47" s="8">
        <v>3</v>
      </c>
      <c r="E47" s="8" t="s">
        <v>91</v>
      </c>
      <c r="F47" s="9" t="s">
        <v>7</v>
      </c>
      <c r="G47" t="str">
        <f>_xlfn.XLOOKUP(E47,Hoja3!A:A,Hoja3!E:E)</f>
        <v>KASSANDRA GUADALUPE HERNANDEZ</v>
      </c>
    </row>
    <row r="48" spans="1:7" x14ac:dyDescent="0.35">
      <c r="A48" s="3" t="s">
        <v>25</v>
      </c>
      <c r="B48" s="3">
        <v>5</v>
      </c>
      <c r="C48" s="3">
        <v>2026</v>
      </c>
      <c r="D48" s="4">
        <v>2</v>
      </c>
      <c r="E48" s="4" t="s">
        <v>92</v>
      </c>
      <c r="F48" s="5" t="s">
        <v>7</v>
      </c>
      <c r="G48" t="str">
        <f>_xlfn.XLOOKUP(E48,Hoja3!A:A,Hoja3!E:E)</f>
        <v>KASSANDRA GUADALUPE HERNANDEZ</v>
      </c>
    </row>
    <row r="49" spans="1:7" x14ac:dyDescent="0.35">
      <c r="A49" s="7" t="s">
        <v>25</v>
      </c>
      <c r="B49" s="3">
        <v>5</v>
      </c>
      <c r="C49" s="7">
        <v>2026</v>
      </c>
      <c r="D49" s="8">
        <v>3</v>
      </c>
      <c r="E49" s="8" t="s">
        <v>93</v>
      </c>
      <c r="F49" s="9" t="s">
        <v>6</v>
      </c>
      <c r="G49" t="str">
        <f>_xlfn.XLOOKUP(E49,Hoja3!A:A,Hoja3!E:E)</f>
        <v>JUAN CARLOS RAMIREZ SIBRIAN</v>
      </c>
    </row>
    <row r="50" spans="1:7" x14ac:dyDescent="0.35">
      <c r="A50" s="3" t="s">
        <v>25</v>
      </c>
      <c r="B50" s="3">
        <v>5</v>
      </c>
      <c r="C50" s="3">
        <v>2026</v>
      </c>
      <c r="D50" s="4">
        <v>2</v>
      </c>
      <c r="E50" s="4" t="s">
        <v>94</v>
      </c>
      <c r="F50" s="5" t="s">
        <v>7</v>
      </c>
      <c r="G50" t="str">
        <f>_xlfn.XLOOKUP(E50,Hoja3!A:A,Hoja3!E:E)</f>
        <v>KASSANDRA GUADALUPE HERNANDEZ</v>
      </c>
    </row>
    <row r="51" spans="1:7" x14ac:dyDescent="0.35">
      <c r="A51" s="7" t="s">
        <v>25</v>
      </c>
      <c r="B51" s="3">
        <v>5</v>
      </c>
      <c r="C51" s="7">
        <v>2026</v>
      </c>
      <c r="D51" s="8">
        <v>3</v>
      </c>
      <c r="E51" s="8" t="s">
        <v>95</v>
      </c>
      <c r="F51" s="9" t="s">
        <v>9</v>
      </c>
      <c r="G51" t="str">
        <f>_xlfn.XLOOKUP(E51,Hoja3!A:A,Hoja3!E:E)</f>
        <v>ELMER NEFTALI FIGUEROA</v>
      </c>
    </row>
    <row r="52" spans="1:7" x14ac:dyDescent="0.35">
      <c r="A52" s="3" t="s">
        <v>25</v>
      </c>
      <c r="B52" s="3">
        <v>5</v>
      </c>
      <c r="C52" s="3">
        <v>2026</v>
      </c>
      <c r="D52" s="4">
        <v>2</v>
      </c>
      <c r="E52" s="4" t="s">
        <v>96</v>
      </c>
      <c r="F52" s="5" t="s">
        <v>2</v>
      </c>
      <c r="G52" t="str">
        <f>_xlfn.XLOOKUP(E52,Hoja3!A:A,Hoja3!E:E)</f>
        <v>JUAN CARLOS RAMIREZ SIBRIAN</v>
      </c>
    </row>
    <row r="53" spans="1:7" x14ac:dyDescent="0.35">
      <c r="A53" s="7" t="s">
        <v>25</v>
      </c>
      <c r="B53" s="3">
        <v>5</v>
      </c>
      <c r="C53" s="7">
        <v>2026</v>
      </c>
      <c r="D53" s="8">
        <v>2</v>
      </c>
      <c r="E53" s="8" t="s">
        <v>97</v>
      </c>
      <c r="F53" s="9" t="s">
        <v>5</v>
      </c>
      <c r="G53" t="str">
        <f>_xlfn.XLOOKUP(E53,Hoja3!A:A,Hoja3!E:E)</f>
        <v>JUAN CARLOS RAMIREZ SIBRIAN</v>
      </c>
    </row>
    <row r="54" spans="1:7" x14ac:dyDescent="0.35">
      <c r="A54" s="3" t="s">
        <v>25</v>
      </c>
      <c r="B54" s="3">
        <v>5</v>
      </c>
      <c r="C54" s="3">
        <v>2026</v>
      </c>
      <c r="D54" s="4">
        <v>3</v>
      </c>
      <c r="E54" s="4" t="s">
        <v>98</v>
      </c>
      <c r="F54" s="5" t="s">
        <v>2</v>
      </c>
      <c r="G54" t="str">
        <f>_xlfn.XLOOKUP(E54,Hoja3!A:A,Hoja3!E:E)</f>
        <v>JOSE ALEXANDER GARCIA SAÑA</v>
      </c>
    </row>
    <row r="55" spans="1:7" x14ac:dyDescent="0.35">
      <c r="A55" s="7" t="s">
        <v>25</v>
      </c>
      <c r="B55" s="3">
        <v>5</v>
      </c>
      <c r="C55" s="7">
        <v>2026</v>
      </c>
      <c r="D55" s="8">
        <v>2</v>
      </c>
      <c r="E55" s="8" t="s">
        <v>99</v>
      </c>
      <c r="F55" s="9" t="s">
        <v>5</v>
      </c>
      <c r="G55" t="str">
        <f>_xlfn.XLOOKUP(E55,Hoja3!A:A,Hoja3!E:E)</f>
        <v>JUAN CARLOS RAMIREZ SIBRIAN</v>
      </c>
    </row>
    <row r="56" spans="1:7" x14ac:dyDescent="0.35">
      <c r="A56" s="3" t="s">
        <v>25</v>
      </c>
      <c r="B56" s="3">
        <v>5</v>
      </c>
      <c r="C56" s="3">
        <v>2026</v>
      </c>
      <c r="D56" s="4">
        <v>2</v>
      </c>
      <c r="E56" s="4" t="s">
        <v>100</v>
      </c>
      <c r="F56" s="5" t="s">
        <v>7</v>
      </c>
      <c r="G56" t="str">
        <f>_xlfn.XLOOKUP(E56,Hoja3!A:A,Hoja3!E:E)</f>
        <v>KASSANDRA GUADALUPE HERNANDEZ</v>
      </c>
    </row>
    <row r="57" spans="1:7" x14ac:dyDescent="0.35">
      <c r="A57" s="7" t="s">
        <v>25</v>
      </c>
      <c r="B57" s="3">
        <v>5</v>
      </c>
      <c r="C57" s="7">
        <v>2026</v>
      </c>
      <c r="D57" s="8">
        <v>3</v>
      </c>
      <c r="E57" s="8" t="s">
        <v>101</v>
      </c>
      <c r="F57" s="9" t="s">
        <v>3</v>
      </c>
      <c r="G57" t="str">
        <f>_xlfn.XLOOKUP(E57,Hoja3!A:A,Hoja3!E:E)</f>
        <v>KASSANDRA GUADALUPE HERNANDEZ</v>
      </c>
    </row>
    <row r="58" spans="1:7" x14ac:dyDescent="0.35">
      <c r="A58" s="3" t="s">
        <v>25</v>
      </c>
      <c r="B58" s="3">
        <v>5</v>
      </c>
      <c r="C58" s="3">
        <v>2026</v>
      </c>
      <c r="D58" s="4">
        <v>2</v>
      </c>
      <c r="E58" s="4" t="s">
        <v>102</v>
      </c>
      <c r="F58" s="5" t="s">
        <v>5</v>
      </c>
      <c r="G58" t="str">
        <f>_xlfn.XLOOKUP(E58,Hoja3!A:A,Hoja3!E:E)</f>
        <v>JUAN CARLOS RAMIREZ SIBRIAN</v>
      </c>
    </row>
    <row r="59" spans="1:7" x14ac:dyDescent="0.35">
      <c r="A59" s="7" t="s">
        <v>25</v>
      </c>
      <c r="B59" s="3">
        <v>5</v>
      </c>
      <c r="C59" s="7">
        <v>2026</v>
      </c>
      <c r="D59" s="8">
        <v>3</v>
      </c>
      <c r="E59" s="8" t="s">
        <v>103</v>
      </c>
      <c r="F59" s="9" t="s">
        <v>9</v>
      </c>
      <c r="G59" t="str">
        <f>_xlfn.XLOOKUP(E59,Hoja3!A:A,Hoja3!E:E)</f>
        <v>ELMER NEFTALI FIGUEROA</v>
      </c>
    </row>
    <row r="60" spans="1:7" x14ac:dyDescent="0.35">
      <c r="A60" s="3" t="s">
        <v>25</v>
      </c>
      <c r="B60" s="3">
        <v>5</v>
      </c>
      <c r="C60" s="3">
        <v>2026</v>
      </c>
      <c r="D60" s="4">
        <v>3</v>
      </c>
      <c r="E60" s="4" t="s">
        <v>104</v>
      </c>
      <c r="F60" s="5" t="s">
        <v>4</v>
      </c>
      <c r="G60" t="str">
        <f>_xlfn.XLOOKUP(E60,Hoja3!A:A,Hoja3!E:E)</f>
        <v>BRYAN ADONIS GALDÁMEZ SALAZAR</v>
      </c>
    </row>
    <row r="61" spans="1:7" x14ac:dyDescent="0.35">
      <c r="A61" s="7" t="s">
        <v>25</v>
      </c>
      <c r="B61" s="3">
        <v>5</v>
      </c>
      <c r="C61" s="7">
        <v>2026</v>
      </c>
      <c r="D61" s="8">
        <v>3</v>
      </c>
      <c r="E61" s="8" t="s">
        <v>105</v>
      </c>
      <c r="F61" s="9" t="s">
        <v>2</v>
      </c>
      <c r="G61" t="str">
        <f>_xlfn.XLOOKUP(E61,Hoja3!A:A,Hoja3!E:E)</f>
        <v>JOSE ALEXANDER GARCIA SAÑA</v>
      </c>
    </row>
    <row r="62" spans="1:7" x14ac:dyDescent="0.35">
      <c r="A62" s="3" t="s">
        <v>25</v>
      </c>
      <c r="B62" s="3">
        <v>5</v>
      </c>
      <c r="C62" s="3">
        <v>2026</v>
      </c>
      <c r="D62" s="4">
        <v>3</v>
      </c>
      <c r="E62" s="4" t="s">
        <v>106</v>
      </c>
      <c r="F62" s="5" t="s">
        <v>4</v>
      </c>
      <c r="G62" t="str">
        <f>_xlfn.XLOOKUP(E62,Hoja3!A:A,Hoja3!E:E)</f>
        <v>BRYAN ADONIS GALDÁMEZ SALAZAR</v>
      </c>
    </row>
    <row r="63" spans="1:7" x14ac:dyDescent="0.35">
      <c r="A63" s="7" t="s">
        <v>25</v>
      </c>
      <c r="B63" s="3">
        <v>5</v>
      </c>
      <c r="C63" s="7">
        <v>2026</v>
      </c>
      <c r="D63" s="8">
        <v>3</v>
      </c>
      <c r="E63" s="8" t="s">
        <v>107</v>
      </c>
      <c r="F63" s="9" t="s">
        <v>9</v>
      </c>
      <c r="G63" t="str">
        <f>_xlfn.XLOOKUP(E63,Hoja3!A:A,Hoja3!E:E)</f>
        <v>ELMER NEFTALI FIGUEROA</v>
      </c>
    </row>
    <row r="64" spans="1:7" x14ac:dyDescent="0.35">
      <c r="A64" s="3" t="s">
        <v>25</v>
      </c>
      <c r="B64" s="3">
        <v>5</v>
      </c>
      <c r="C64" s="3">
        <v>2026</v>
      </c>
      <c r="D64" s="4">
        <v>3</v>
      </c>
      <c r="E64" s="4" t="s">
        <v>108</v>
      </c>
      <c r="F64" s="5" t="s">
        <v>10</v>
      </c>
      <c r="G64" t="str">
        <f>_xlfn.XLOOKUP(E64,Hoja3!A:A,Hoja3!E:E)</f>
        <v>ELMER NEFTALI FIGUEROA</v>
      </c>
    </row>
    <row r="65" spans="1:9" x14ac:dyDescent="0.35">
      <c r="A65" s="7" t="s">
        <v>25</v>
      </c>
      <c r="B65" s="3">
        <v>5</v>
      </c>
      <c r="C65" s="7">
        <v>2026</v>
      </c>
      <c r="D65" s="8">
        <v>3</v>
      </c>
      <c r="E65" s="8" t="s">
        <v>109</v>
      </c>
      <c r="F65" s="9" t="s">
        <v>7</v>
      </c>
      <c r="G65" t="str">
        <f>_xlfn.XLOOKUP(E65,Hoja3!A:A,Hoja3!E:E)</f>
        <v>KASSANDRA GUADALUPE HERNANDEZ</v>
      </c>
    </row>
    <row r="66" spans="1:9" x14ac:dyDescent="0.35">
      <c r="A66" s="3" t="s">
        <v>25</v>
      </c>
      <c r="B66" s="3">
        <v>5</v>
      </c>
      <c r="C66" s="3">
        <v>2026</v>
      </c>
      <c r="D66" s="4">
        <v>3</v>
      </c>
      <c r="E66" s="4" t="s">
        <v>110</v>
      </c>
      <c r="F66" s="5" t="s">
        <v>3</v>
      </c>
      <c r="G66" t="str">
        <f>_xlfn.XLOOKUP(E66,Hoja3!A:A,Hoja3!E:E)</f>
        <v>KASSANDRA GUADALUPE HERNANDEZ</v>
      </c>
    </row>
    <row r="67" spans="1:9" x14ac:dyDescent="0.35">
      <c r="A67" s="7" t="s">
        <v>25</v>
      </c>
      <c r="B67" s="3">
        <v>5</v>
      </c>
      <c r="C67" s="7">
        <v>2026</v>
      </c>
      <c r="D67" s="8">
        <v>3</v>
      </c>
      <c r="E67" s="8" t="s">
        <v>111</v>
      </c>
      <c r="F67" s="9" t="s">
        <v>4</v>
      </c>
      <c r="G67" t="str">
        <f>_xlfn.XLOOKUP(E67,Hoja3!A:A,Hoja3!E:E)</f>
        <v>BRYAN ADONIS GALDÁMEZ SALAZAR</v>
      </c>
    </row>
    <row r="68" spans="1:9" x14ac:dyDescent="0.35">
      <c r="A68" s="3" t="s">
        <v>25</v>
      </c>
      <c r="B68" s="3">
        <v>5</v>
      </c>
      <c r="C68" s="3">
        <v>2026</v>
      </c>
      <c r="D68" s="4">
        <v>3</v>
      </c>
      <c r="E68" s="4" t="s">
        <v>112</v>
      </c>
      <c r="F68" s="5" t="s">
        <v>4</v>
      </c>
      <c r="G68" t="str">
        <f>_xlfn.XLOOKUP(E68,Hoja3!A:A,Hoja3!E:E)</f>
        <v>BRYAN ADONIS GALDÁMEZ SALAZAR</v>
      </c>
    </row>
    <row r="69" spans="1:9" x14ac:dyDescent="0.35">
      <c r="A69" s="7" t="s">
        <v>25</v>
      </c>
      <c r="B69" s="3">
        <v>5</v>
      </c>
      <c r="C69" s="7">
        <v>2026</v>
      </c>
      <c r="D69" s="8">
        <v>3</v>
      </c>
      <c r="E69" s="8" t="s">
        <v>113</v>
      </c>
      <c r="F69" s="9" t="s">
        <v>3</v>
      </c>
      <c r="G69" t="str">
        <f>_xlfn.XLOOKUP(E69,Hoja3!A:A,Hoja3!E:E)</f>
        <v>BRYAN ADONIS GALDÁMEZ SALAZAR</v>
      </c>
    </row>
    <row r="70" spans="1:9" x14ac:dyDescent="0.35">
      <c r="A70" s="3" t="s">
        <v>25</v>
      </c>
      <c r="B70" s="3">
        <v>5</v>
      </c>
      <c r="C70" s="3">
        <v>2026</v>
      </c>
      <c r="D70" s="4">
        <v>2</v>
      </c>
      <c r="E70" s="4" t="s">
        <v>114</v>
      </c>
      <c r="F70" s="5" t="s">
        <v>5</v>
      </c>
      <c r="G70" t="str">
        <f>_xlfn.XLOOKUP(E70,Hoja3!A:A,Hoja3!E:E)</f>
        <v>JUAN CARLOS RAMIREZ SIBRIAN</v>
      </c>
    </row>
    <row r="71" spans="1:9" x14ac:dyDescent="0.35">
      <c r="A71" s="7" t="s">
        <v>25</v>
      </c>
      <c r="B71" s="3">
        <v>5</v>
      </c>
      <c r="C71" s="7">
        <v>2026</v>
      </c>
      <c r="D71" s="8">
        <v>3</v>
      </c>
      <c r="E71" s="8" t="s">
        <v>115</v>
      </c>
      <c r="F71" s="9" t="s">
        <v>8</v>
      </c>
      <c r="G71" t="str">
        <f>_xlfn.XLOOKUP(E71,Hoja3!A:A,Hoja3!E:E)</f>
        <v>BRYAN ADONIS GALDÁMEZ SALAZAR</v>
      </c>
    </row>
    <row r="72" spans="1:9" x14ac:dyDescent="0.35">
      <c r="A72" s="3" t="s">
        <v>25</v>
      </c>
      <c r="B72" s="3">
        <v>5</v>
      </c>
      <c r="C72" s="3">
        <v>2026</v>
      </c>
      <c r="D72" s="4">
        <v>3</v>
      </c>
      <c r="E72" s="4" t="s">
        <v>116</v>
      </c>
      <c r="F72" s="5" t="s">
        <v>9</v>
      </c>
      <c r="G72" t="str">
        <f>_xlfn.XLOOKUP(E72,Hoja3!A:A,Hoja3!E:E)</f>
        <v>ELMER NEFTALI FIGUEROA</v>
      </c>
    </row>
    <row r="73" spans="1:9" x14ac:dyDescent="0.35">
      <c r="A73" s="7" t="s">
        <v>25</v>
      </c>
      <c r="B73" s="3">
        <v>5</v>
      </c>
      <c r="C73" s="7">
        <v>2026</v>
      </c>
      <c r="D73" s="8">
        <v>3</v>
      </c>
      <c r="E73" s="8" t="s">
        <v>117</v>
      </c>
      <c r="F73" s="9" t="s">
        <v>8</v>
      </c>
      <c r="G73" t="str">
        <f>_xlfn.XLOOKUP(E73,Hoja3!A:A,Hoja3!E:E)</f>
        <v>BRYAN ADONIS GALDÁMEZ SALAZAR</v>
      </c>
    </row>
    <row r="74" spans="1:9" x14ac:dyDescent="0.35">
      <c r="A74" s="3" t="s">
        <v>25</v>
      </c>
      <c r="B74" s="3">
        <v>5</v>
      </c>
      <c r="C74" s="3">
        <v>2026</v>
      </c>
      <c r="D74" s="4">
        <v>3</v>
      </c>
      <c r="E74" s="4" t="s">
        <v>118</v>
      </c>
      <c r="F74" s="5" t="s">
        <v>2</v>
      </c>
      <c r="G74" t="str">
        <f>_xlfn.XLOOKUP(E74,Hoja3!A:A,Hoja3!E:E)</f>
        <v>JOSE ALEXANDER GARCIA SAÑA</v>
      </c>
    </row>
    <row r="75" spans="1:9" x14ac:dyDescent="0.35">
      <c r="A75" s="7" t="s">
        <v>25</v>
      </c>
      <c r="B75" s="3">
        <v>5</v>
      </c>
      <c r="C75" s="7">
        <v>2026</v>
      </c>
      <c r="D75" s="8">
        <v>3</v>
      </c>
      <c r="E75" s="8" t="s">
        <v>119</v>
      </c>
      <c r="F75" s="9" t="s">
        <v>3</v>
      </c>
      <c r="G75" t="str">
        <f>_xlfn.XLOOKUP(E75,Hoja3!A:A,Hoja3!E:E)</f>
        <v>KASSANDRA GUADALUPE HERNANDEZ</v>
      </c>
    </row>
    <row r="76" spans="1:9" x14ac:dyDescent="0.35">
      <c r="A76" s="3" t="s">
        <v>25</v>
      </c>
      <c r="B76" s="3">
        <v>5</v>
      </c>
      <c r="C76" s="3">
        <v>2026</v>
      </c>
      <c r="D76" s="4">
        <v>3</v>
      </c>
      <c r="E76" s="4" t="s">
        <v>120</v>
      </c>
      <c r="F76" s="5" t="s">
        <v>2</v>
      </c>
      <c r="G76" t="str">
        <f>_xlfn.XLOOKUP(E76,Hoja3!A:A,Hoja3!E:E)</f>
        <v>JUAN CARLOS RAMIREZ SIBRIAN</v>
      </c>
    </row>
    <row r="77" spans="1:9" x14ac:dyDescent="0.35">
      <c r="A77" s="3" t="s">
        <v>25</v>
      </c>
      <c r="B77" s="3">
        <v>5</v>
      </c>
      <c r="C77" s="3">
        <v>2026</v>
      </c>
      <c r="D77" s="4">
        <v>3</v>
      </c>
      <c r="E77" s="4" t="s">
        <v>121</v>
      </c>
      <c r="F77" s="5" t="s">
        <v>7</v>
      </c>
      <c r="G77" t="str">
        <f>_xlfn.XLOOKUP(E77,Hoja3!A:A,Hoja3!E:E)</f>
        <v>KASSANDRA GUADALUPE HERNANDEZ</v>
      </c>
    </row>
    <row r="78" spans="1:9" x14ac:dyDescent="0.35">
      <c r="A78" s="7" t="s">
        <v>25</v>
      </c>
      <c r="B78" s="3">
        <v>5</v>
      </c>
      <c r="C78" s="7">
        <v>2026</v>
      </c>
      <c r="D78" s="8">
        <v>3</v>
      </c>
      <c r="E78" s="8" t="s">
        <v>122</v>
      </c>
      <c r="F78" s="9" t="s">
        <v>2</v>
      </c>
      <c r="G78" t="str">
        <f>_xlfn.XLOOKUP(E78,Hoja3!A:A,Hoja3!E:E)</f>
        <v>JOSE ALEXANDER GARCIA SAÑA</v>
      </c>
    </row>
    <row r="79" spans="1:9" x14ac:dyDescent="0.35">
      <c r="A79" s="3" t="s">
        <v>25</v>
      </c>
      <c r="B79" s="3">
        <v>5</v>
      </c>
      <c r="C79" s="3">
        <v>2026</v>
      </c>
      <c r="D79" s="4">
        <v>3</v>
      </c>
      <c r="E79" s="4" t="s">
        <v>123</v>
      </c>
      <c r="F79" s="5" t="s">
        <v>4</v>
      </c>
      <c r="G79" t="str">
        <f>_xlfn.XLOOKUP(E79,Hoja3!A:A,Hoja3!E:E)</f>
        <v>ELMER NEFTALI FIGUEROA</v>
      </c>
      <c r="I79" t="s">
        <v>147</v>
      </c>
    </row>
    <row r="80" spans="1:9" x14ac:dyDescent="0.35">
      <c r="A80" s="7" t="s">
        <v>25</v>
      </c>
      <c r="B80" s="3">
        <v>5</v>
      </c>
      <c r="C80" s="7">
        <v>2026</v>
      </c>
      <c r="D80" s="8">
        <v>1</v>
      </c>
      <c r="E80" s="8" t="s">
        <v>124</v>
      </c>
      <c r="F80" s="9" t="s">
        <v>6</v>
      </c>
      <c r="G80" t="str">
        <f>_xlfn.XLOOKUP(E80,Hoja3!A:A,Hoja3!E:E)</f>
        <v>JUAN CARLOS RAMIREZ SIBRIAN</v>
      </c>
    </row>
    <row r="81" spans="1:7" x14ac:dyDescent="0.35">
      <c r="A81" s="3" t="s">
        <v>25</v>
      </c>
      <c r="B81" s="3">
        <v>5</v>
      </c>
      <c r="C81" s="3">
        <v>2026</v>
      </c>
      <c r="D81" s="4">
        <v>3</v>
      </c>
      <c r="E81" s="4" t="s">
        <v>125</v>
      </c>
      <c r="F81" s="5" t="s">
        <v>6</v>
      </c>
      <c r="G81" t="str">
        <f>_xlfn.XLOOKUP(E81,Hoja3!A:A,Hoja3!E:E)</f>
        <v>JUAN CARLOS RAMIREZ SIBRIAN</v>
      </c>
    </row>
    <row r="82" spans="1:7" x14ac:dyDescent="0.35">
      <c r="A82" s="7" t="s">
        <v>25</v>
      </c>
      <c r="B82" s="3">
        <v>5</v>
      </c>
      <c r="C82" s="7">
        <v>2026</v>
      </c>
      <c r="D82" s="8">
        <v>3</v>
      </c>
      <c r="E82" s="8" t="s">
        <v>126</v>
      </c>
      <c r="F82" s="9" t="s">
        <v>2</v>
      </c>
      <c r="G82" t="str">
        <f>_xlfn.XLOOKUP(E82,Hoja3!A:A,Hoja3!E:E)</f>
        <v>JOSE ALEXANDER GARCIA SAÑA</v>
      </c>
    </row>
    <row r="83" spans="1:7" x14ac:dyDescent="0.35">
      <c r="A83" s="3" t="s">
        <v>25</v>
      </c>
      <c r="B83" s="3">
        <v>5</v>
      </c>
      <c r="C83" s="3">
        <v>2026</v>
      </c>
      <c r="D83" s="4">
        <v>3</v>
      </c>
      <c r="E83" s="4" t="s">
        <v>127</v>
      </c>
      <c r="F83" s="5" t="s">
        <v>2</v>
      </c>
      <c r="G83" t="str">
        <f>_xlfn.XLOOKUP(E83,Hoja3!A:A,Hoja3!E:E)</f>
        <v>JOSE ALEXANDER GARCIA SAÑA</v>
      </c>
    </row>
    <row r="84" spans="1:7" x14ac:dyDescent="0.35">
      <c r="A84" s="7" t="s">
        <v>25</v>
      </c>
      <c r="B84" s="3">
        <v>5</v>
      </c>
      <c r="C84" s="7">
        <v>2026</v>
      </c>
      <c r="D84" s="8">
        <v>3</v>
      </c>
      <c r="E84" s="8" t="s">
        <v>128</v>
      </c>
      <c r="F84" s="9" t="s">
        <v>2</v>
      </c>
      <c r="G84" t="str">
        <f>_xlfn.XLOOKUP(E84,Hoja3!A:A,Hoja3!E:E)</f>
        <v>JOSE ALEXANDER GARCIA SAÑA</v>
      </c>
    </row>
    <row r="85" spans="1:7" x14ac:dyDescent="0.35">
      <c r="A85" s="3" t="s">
        <v>25</v>
      </c>
      <c r="B85" s="3">
        <v>5</v>
      </c>
      <c r="C85" s="3">
        <v>2026</v>
      </c>
      <c r="D85" s="4">
        <v>3</v>
      </c>
      <c r="E85" s="4" t="s">
        <v>129</v>
      </c>
      <c r="F85" s="5" t="s">
        <v>2</v>
      </c>
      <c r="G85" t="str">
        <f>_xlfn.XLOOKUP(E85,Hoja3!A:A,Hoja3!E:E)</f>
        <v>JOSE ALEXANDER GARCIA SAÑA</v>
      </c>
    </row>
    <row r="86" spans="1:7" x14ac:dyDescent="0.35">
      <c r="A86" s="7" t="s">
        <v>25</v>
      </c>
      <c r="B86" s="3">
        <v>5</v>
      </c>
      <c r="C86" s="7">
        <v>2026</v>
      </c>
      <c r="D86" s="8">
        <v>3</v>
      </c>
      <c r="E86" s="8" t="s">
        <v>130</v>
      </c>
      <c r="F86" s="9" t="s">
        <v>2</v>
      </c>
      <c r="G86" t="str">
        <f>_xlfn.XLOOKUP(E86,Hoja3!A:A,Hoja3!E:E)</f>
        <v>JOSE ALEXANDER GARCIA SAÑA</v>
      </c>
    </row>
    <row r="87" spans="1:7" x14ac:dyDescent="0.35">
      <c r="A87" s="3" t="s">
        <v>25</v>
      </c>
      <c r="B87" s="3">
        <v>5</v>
      </c>
      <c r="C87" s="3">
        <v>2026</v>
      </c>
      <c r="D87" s="4">
        <v>3</v>
      </c>
      <c r="E87" s="4" t="s">
        <v>131</v>
      </c>
      <c r="F87" s="5" t="s">
        <v>2</v>
      </c>
      <c r="G87" t="str">
        <f>_xlfn.XLOOKUP(E87,Hoja3!A:A,Hoja3!E:E)</f>
        <v>JOSE ALEXANDER GARCIA SAÑA</v>
      </c>
    </row>
    <row r="88" spans="1:7" x14ac:dyDescent="0.35">
      <c r="A88" s="7" t="s">
        <v>25</v>
      </c>
      <c r="B88" s="3">
        <v>5</v>
      </c>
      <c r="C88" s="7">
        <v>2026</v>
      </c>
      <c r="D88" s="8">
        <v>1</v>
      </c>
      <c r="E88" s="8" t="s">
        <v>132</v>
      </c>
      <c r="F88" s="9" t="s">
        <v>7</v>
      </c>
      <c r="G88" t="str">
        <f>_xlfn.XLOOKUP(E88,Hoja3!A:A,Hoja3!E:E)</f>
        <v>KASSANDRA GUADALUPE HERNANDEZ</v>
      </c>
    </row>
    <row r="89" spans="1:7" x14ac:dyDescent="0.35">
      <c r="A89" s="3" t="s">
        <v>25</v>
      </c>
      <c r="B89" s="3">
        <v>5</v>
      </c>
      <c r="C89" s="3">
        <v>2026</v>
      </c>
      <c r="D89" s="4">
        <v>1</v>
      </c>
      <c r="E89" s="4" t="s">
        <v>133</v>
      </c>
      <c r="F89" s="5" t="s">
        <v>3</v>
      </c>
      <c r="G89" t="str">
        <f>_xlfn.XLOOKUP(E89,Hoja3!A:A,Hoja3!E:E)</f>
        <v>ELMER NEFTALI FIGUEROA</v>
      </c>
    </row>
    <row r="90" spans="1:7" x14ac:dyDescent="0.35">
      <c r="A90" s="7" t="s">
        <v>25</v>
      </c>
      <c r="B90" s="3">
        <v>5</v>
      </c>
      <c r="C90" s="7">
        <v>2026</v>
      </c>
      <c r="D90" s="8">
        <v>1</v>
      </c>
      <c r="E90" s="8" t="s">
        <v>134</v>
      </c>
      <c r="F90" s="9" t="s">
        <v>4</v>
      </c>
      <c r="G90" t="str">
        <f>_xlfn.XLOOKUP(E90,Hoja3!A:A,Hoja3!E:E)</f>
        <v>BRYAN ADONIS GALDÁMEZ SALAZAR</v>
      </c>
    </row>
    <row r="91" spans="1:7" x14ac:dyDescent="0.35">
      <c r="A91" s="3" t="s">
        <v>25</v>
      </c>
      <c r="B91" s="3">
        <v>5</v>
      </c>
      <c r="C91" s="3">
        <v>2026</v>
      </c>
      <c r="D91" s="4">
        <v>3</v>
      </c>
      <c r="E91" s="4" t="s">
        <v>135</v>
      </c>
      <c r="F91" s="5" t="s">
        <v>6</v>
      </c>
      <c r="G91" t="str">
        <f>_xlfn.XLOOKUP(E91,Hoja3!A:A,Hoja3!E:E)</f>
        <v>JUAN CARLOS RAMIREZ SIBRIAN</v>
      </c>
    </row>
    <row r="92" spans="1:7" x14ac:dyDescent="0.35">
      <c r="A92" s="7" t="s">
        <v>25</v>
      </c>
      <c r="B92" s="3">
        <v>5</v>
      </c>
      <c r="C92" s="7">
        <v>2026</v>
      </c>
      <c r="D92" s="8">
        <v>3</v>
      </c>
      <c r="E92" s="8" t="s">
        <v>136</v>
      </c>
      <c r="F92" s="9" t="s">
        <v>3</v>
      </c>
      <c r="G92" t="str">
        <f>_xlfn.XLOOKUP(E92,Hoja3!A:A,Hoja3!E:E)</f>
        <v>ELMER NEFTALI FIGUEROA</v>
      </c>
    </row>
    <row r="93" spans="1:7" x14ac:dyDescent="0.35">
      <c r="A93" s="3" t="s">
        <v>25</v>
      </c>
      <c r="B93" s="3">
        <v>5</v>
      </c>
      <c r="C93" s="3">
        <v>2026</v>
      </c>
      <c r="D93" s="4">
        <v>3</v>
      </c>
      <c r="E93" s="4" t="s">
        <v>137</v>
      </c>
      <c r="F93" s="5" t="s">
        <v>4</v>
      </c>
      <c r="G93" t="str">
        <f>_xlfn.XLOOKUP(E93,Hoja3!A:A,Hoja3!E:E)</f>
        <v>BRYAN ADONIS GALDÁMEZ SALAZAR</v>
      </c>
    </row>
    <row r="94" spans="1:7" x14ac:dyDescent="0.35">
      <c r="A94" s="7" t="s">
        <v>25</v>
      </c>
      <c r="B94" s="3">
        <v>5</v>
      </c>
      <c r="C94" s="7">
        <v>2026</v>
      </c>
      <c r="D94" s="8">
        <v>3</v>
      </c>
      <c r="E94" s="8" t="s">
        <v>148</v>
      </c>
      <c r="F94" s="9" t="s">
        <v>8</v>
      </c>
      <c r="G94" t="str">
        <f>_xlfn.XLOOKUP(E94,Hoja3!A:A,Hoja3!E:E)</f>
        <v>BRYAN ADONIS GALDÁMEZ SALAZAR</v>
      </c>
    </row>
    <row r="95" spans="1:7" x14ac:dyDescent="0.35">
      <c r="A95" s="3" t="s">
        <v>25</v>
      </c>
      <c r="B95" s="3">
        <v>5</v>
      </c>
      <c r="C95" s="3">
        <v>2026</v>
      </c>
      <c r="D95" s="4">
        <v>3</v>
      </c>
      <c r="E95" s="4" t="s">
        <v>149</v>
      </c>
      <c r="F95" s="5" t="s">
        <v>7</v>
      </c>
      <c r="G95" t="str">
        <f>_xlfn.XLOOKUP(E95,Hoja3!A:A,Hoja3!E:E)</f>
        <v>ELMER NEFTALI FIGUEROA</v>
      </c>
    </row>
    <row r="96" spans="1:7" x14ac:dyDescent="0.35">
      <c r="A96" s="7" t="s">
        <v>25</v>
      </c>
      <c r="B96" s="3">
        <v>5</v>
      </c>
      <c r="C96" s="7">
        <v>2026</v>
      </c>
      <c r="D96" s="8">
        <v>3</v>
      </c>
      <c r="E96" s="8" t="s">
        <v>140</v>
      </c>
      <c r="F96" s="9" t="s">
        <v>6</v>
      </c>
      <c r="G96" t="str">
        <f>_xlfn.XLOOKUP(E96,Hoja3!A:A,Hoja3!E:E)</f>
        <v>JUAN CARLOS RAMIREZ SIBRIAN</v>
      </c>
    </row>
    <row r="97" spans="1:9" x14ac:dyDescent="0.35">
      <c r="A97" s="3" t="s">
        <v>25</v>
      </c>
      <c r="B97" s="3">
        <v>5</v>
      </c>
      <c r="C97" s="3">
        <v>2026</v>
      </c>
      <c r="D97" s="4">
        <v>2</v>
      </c>
      <c r="E97" s="4" t="s">
        <v>141</v>
      </c>
      <c r="F97" s="5" t="s">
        <v>3</v>
      </c>
      <c r="G97" t="str">
        <f>_xlfn.XLOOKUP(E97,Hoja3!A:A,Hoja3!E:E)</f>
        <v>KASSANDRA GUADALUPE HERNANDEZ</v>
      </c>
    </row>
    <row r="98" spans="1:9" x14ac:dyDescent="0.35">
      <c r="A98" s="7" t="s">
        <v>25</v>
      </c>
      <c r="B98" s="3">
        <v>5</v>
      </c>
      <c r="C98" s="7">
        <v>2026</v>
      </c>
      <c r="D98" s="8">
        <v>3</v>
      </c>
      <c r="E98" s="8" t="s">
        <v>150</v>
      </c>
      <c r="F98" s="9" t="s">
        <v>3</v>
      </c>
      <c r="G98" t="str">
        <f>_xlfn.XLOOKUP(E98,Hoja3!A:A,Hoja3!E:E)</f>
        <v>ELMER NEFTALI FIGUEROA</v>
      </c>
      <c r="I98" t="s">
        <v>147</v>
      </c>
    </row>
    <row r="99" spans="1:9" x14ac:dyDescent="0.35">
      <c r="A99" s="3" t="s">
        <v>25</v>
      </c>
      <c r="B99" s="3">
        <v>5</v>
      </c>
      <c r="C99" s="3">
        <v>2026</v>
      </c>
      <c r="D99" s="4">
        <v>3</v>
      </c>
      <c r="E99" s="4" t="s">
        <v>143</v>
      </c>
      <c r="F99" s="5" t="s">
        <v>6</v>
      </c>
      <c r="G99" t="str">
        <f>_xlfn.XLOOKUP(E99,Hoja3!A:A,Hoja3!E:E)</f>
        <v>ELMER NEFTALI FIGUEROA</v>
      </c>
      <c r="I99" t="s">
        <v>147</v>
      </c>
    </row>
    <row r="100" spans="1:9" x14ac:dyDescent="0.35">
      <c r="A100" s="7" t="s">
        <v>25</v>
      </c>
      <c r="B100" s="3">
        <v>5</v>
      </c>
      <c r="C100" s="7">
        <v>2026</v>
      </c>
      <c r="D100" s="8">
        <v>3</v>
      </c>
      <c r="E100" s="8" t="s">
        <v>144</v>
      </c>
      <c r="F100" s="9" t="s">
        <v>6</v>
      </c>
      <c r="G100" t="str">
        <f>_xlfn.XLOOKUP(E100,Hoja3!A:A,Hoja3!E:E)</f>
        <v>ELMER NEFTALI FIGUEROA</v>
      </c>
    </row>
    <row r="101" spans="1:9" x14ac:dyDescent="0.35">
      <c r="A101" s="3" t="s">
        <v>25</v>
      </c>
      <c r="B101" s="3">
        <v>5</v>
      </c>
      <c r="C101" s="3">
        <v>2026</v>
      </c>
      <c r="D101" s="4">
        <v>3</v>
      </c>
      <c r="E101" s="4" t="s">
        <v>145</v>
      </c>
      <c r="F101" s="5" t="s">
        <v>6</v>
      </c>
      <c r="G101" t="str">
        <f>_xlfn.XLOOKUP(E101,Hoja3!A:A,Hoja3!E:E)</f>
        <v>ELMER NEFTALI FIGUEROA</v>
      </c>
      <c r="I101" t="s">
        <v>147</v>
      </c>
    </row>
  </sheetData>
  <conditionalFormatting sqref="E1:E10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5693-04A7-4EB5-BA61-D41144E95C78}">
  <dimension ref="A1:E198"/>
  <sheetViews>
    <sheetView topLeftCell="A98" workbookViewId="0">
      <selection activeCell="A108" sqref="A108"/>
    </sheetView>
  </sheetViews>
  <sheetFormatPr baseColWidth="10" defaultColWidth="11.453125" defaultRowHeight="14.5" x14ac:dyDescent="0.35"/>
  <cols>
    <col min="2" max="2" width="37.26953125" bestFit="1" customWidth="1"/>
    <col min="5" max="5" width="34" bestFit="1" customWidth="1"/>
  </cols>
  <sheetData>
    <row r="1" spans="1:5" x14ac:dyDescent="0.35">
      <c r="A1" s="30" t="s">
        <v>151</v>
      </c>
      <c r="B1" s="31" t="s">
        <v>152</v>
      </c>
      <c r="C1" s="30" t="s">
        <v>153</v>
      </c>
      <c r="D1" s="30" t="s">
        <v>154</v>
      </c>
      <c r="E1" s="32" t="s">
        <v>155</v>
      </c>
    </row>
    <row r="2" spans="1:5" x14ac:dyDescent="0.35">
      <c r="A2" t="s">
        <v>28</v>
      </c>
      <c r="B2" t="s">
        <v>156</v>
      </c>
      <c r="C2" t="s">
        <v>157</v>
      </c>
      <c r="D2" t="s">
        <v>158</v>
      </c>
      <c r="E2" t="s">
        <v>159</v>
      </c>
    </row>
    <row r="3" spans="1:5" x14ac:dyDescent="0.35">
      <c r="A3" t="s">
        <v>33</v>
      </c>
      <c r="B3" t="s">
        <v>156</v>
      </c>
      <c r="C3" t="s">
        <v>160</v>
      </c>
      <c r="D3" t="s">
        <v>158</v>
      </c>
      <c r="E3" t="s">
        <v>159</v>
      </c>
    </row>
    <row r="4" spans="1:5" x14ac:dyDescent="0.35">
      <c r="A4" t="s">
        <v>36</v>
      </c>
      <c r="B4" t="s">
        <v>3</v>
      </c>
      <c r="C4" t="s">
        <v>157</v>
      </c>
      <c r="D4" t="s">
        <v>158</v>
      </c>
      <c r="E4" t="s">
        <v>161</v>
      </c>
    </row>
    <row r="5" spans="1:5" x14ac:dyDescent="0.35">
      <c r="A5" t="s">
        <v>38</v>
      </c>
      <c r="B5" t="s">
        <v>6</v>
      </c>
      <c r="C5" t="s">
        <v>157</v>
      </c>
      <c r="D5" t="s">
        <v>158</v>
      </c>
      <c r="E5" t="s">
        <v>159</v>
      </c>
    </row>
    <row r="6" spans="1:5" x14ac:dyDescent="0.35">
      <c r="A6" t="s">
        <v>162</v>
      </c>
      <c r="B6" t="s">
        <v>10</v>
      </c>
      <c r="C6" t="s">
        <v>163</v>
      </c>
      <c r="D6" t="s">
        <v>158</v>
      </c>
      <c r="E6" t="s">
        <v>164</v>
      </c>
    </row>
    <row r="7" spans="1:5" x14ac:dyDescent="0.35">
      <c r="A7" t="s">
        <v>40</v>
      </c>
      <c r="B7" t="s">
        <v>9</v>
      </c>
      <c r="C7" t="s">
        <v>157</v>
      </c>
      <c r="D7" t="s">
        <v>158</v>
      </c>
      <c r="E7" t="s">
        <v>165</v>
      </c>
    </row>
    <row r="8" spans="1:5" x14ac:dyDescent="0.35">
      <c r="A8" t="s">
        <v>42</v>
      </c>
      <c r="B8" t="s">
        <v>4</v>
      </c>
      <c r="C8" t="s">
        <v>157</v>
      </c>
      <c r="D8" t="s">
        <v>158</v>
      </c>
      <c r="E8" t="s">
        <v>166</v>
      </c>
    </row>
    <row r="9" spans="1:5" x14ac:dyDescent="0.35">
      <c r="A9" t="s">
        <v>43</v>
      </c>
      <c r="B9" t="s">
        <v>6</v>
      </c>
      <c r="C9" t="s">
        <v>157</v>
      </c>
      <c r="D9" t="s">
        <v>158</v>
      </c>
      <c r="E9" t="s">
        <v>159</v>
      </c>
    </row>
    <row r="10" spans="1:5" x14ac:dyDescent="0.35">
      <c r="A10" t="s">
        <v>44</v>
      </c>
      <c r="B10" t="s">
        <v>4</v>
      </c>
      <c r="C10" t="s">
        <v>157</v>
      </c>
      <c r="D10" t="s">
        <v>158</v>
      </c>
      <c r="E10" t="s">
        <v>166</v>
      </c>
    </row>
    <row r="11" spans="1:5" x14ac:dyDescent="0.35">
      <c r="A11" t="s">
        <v>167</v>
      </c>
      <c r="B11" t="s">
        <v>168</v>
      </c>
      <c r="C11" t="s">
        <v>169</v>
      </c>
      <c r="D11" t="s">
        <v>158</v>
      </c>
      <c r="E11" t="s">
        <v>164</v>
      </c>
    </row>
    <row r="12" spans="1:5" x14ac:dyDescent="0.35">
      <c r="A12" t="s">
        <v>50</v>
      </c>
      <c r="B12" t="s">
        <v>8</v>
      </c>
      <c r="C12" t="s">
        <v>157</v>
      </c>
      <c r="D12" t="s">
        <v>158</v>
      </c>
      <c r="E12" t="s">
        <v>166</v>
      </c>
    </row>
    <row r="13" spans="1:5" x14ac:dyDescent="0.35">
      <c r="A13" t="s">
        <v>51</v>
      </c>
      <c r="B13" t="s">
        <v>4</v>
      </c>
      <c r="C13" t="s">
        <v>157</v>
      </c>
      <c r="D13" t="s">
        <v>158</v>
      </c>
      <c r="E13" t="s">
        <v>166</v>
      </c>
    </row>
    <row r="14" spans="1:5" x14ac:dyDescent="0.35">
      <c r="A14" t="s">
        <v>150</v>
      </c>
      <c r="B14" t="s">
        <v>3</v>
      </c>
      <c r="C14" t="s">
        <v>163</v>
      </c>
      <c r="D14" t="s">
        <v>158</v>
      </c>
      <c r="E14" t="s">
        <v>165</v>
      </c>
    </row>
    <row r="15" spans="1:5" x14ac:dyDescent="0.35">
      <c r="A15" t="s">
        <v>54</v>
      </c>
      <c r="B15" t="s">
        <v>156</v>
      </c>
      <c r="C15" t="s">
        <v>160</v>
      </c>
      <c r="D15" t="s">
        <v>158</v>
      </c>
      <c r="E15" t="s">
        <v>159</v>
      </c>
    </row>
    <row r="16" spans="1:5" x14ac:dyDescent="0.35">
      <c r="A16" t="s">
        <v>145</v>
      </c>
      <c r="B16" t="s">
        <v>6</v>
      </c>
      <c r="C16" t="s">
        <v>163</v>
      </c>
      <c r="D16" t="s">
        <v>158</v>
      </c>
      <c r="E16" t="s">
        <v>165</v>
      </c>
    </row>
    <row r="17" spans="1:5" x14ac:dyDescent="0.35">
      <c r="A17" t="s">
        <v>170</v>
      </c>
      <c r="B17" t="s">
        <v>168</v>
      </c>
      <c r="C17" t="s">
        <v>169</v>
      </c>
      <c r="D17" t="s">
        <v>158</v>
      </c>
      <c r="E17" t="s">
        <v>164</v>
      </c>
    </row>
    <row r="18" spans="1:5" x14ac:dyDescent="0.35">
      <c r="A18" t="s">
        <v>171</v>
      </c>
      <c r="B18" t="s">
        <v>4</v>
      </c>
      <c r="C18" t="s">
        <v>163</v>
      </c>
      <c r="D18" t="s">
        <v>158</v>
      </c>
      <c r="E18" t="s">
        <v>164</v>
      </c>
    </row>
    <row r="19" spans="1:5" x14ac:dyDescent="0.35">
      <c r="A19" t="s">
        <v>172</v>
      </c>
      <c r="B19" t="s">
        <v>156</v>
      </c>
      <c r="C19" t="s">
        <v>169</v>
      </c>
      <c r="D19" t="s">
        <v>158</v>
      </c>
      <c r="E19" t="s">
        <v>164</v>
      </c>
    </row>
    <row r="20" spans="1:5" x14ac:dyDescent="0.35">
      <c r="A20" t="s">
        <v>55</v>
      </c>
      <c r="B20" t="s">
        <v>3</v>
      </c>
      <c r="C20" t="s">
        <v>157</v>
      </c>
      <c r="D20" t="s">
        <v>158</v>
      </c>
      <c r="E20" t="s">
        <v>161</v>
      </c>
    </row>
    <row r="21" spans="1:5" x14ac:dyDescent="0.35">
      <c r="A21" t="s">
        <v>57</v>
      </c>
      <c r="B21" t="s">
        <v>9</v>
      </c>
      <c r="C21" t="s">
        <v>157</v>
      </c>
      <c r="D21" t="s">
        <v>158</v>
      </c>
      <c r="E21" t="s">
        <v>165</v>
      </c>
    </row>
    <row r="22" spans="1:5" x14ac:dyDescent="0.35">
      <c r="A22" t="s">
        <v>58</v>
      </c>
      <c r="B22" t="s">
        <v>8</v>
      </c>
      <c r="C22" t="s">
        <v>157</v>
      </c>
      <c r="D22" t="s">
        <v>158</v>
      </c>
      <c r="E22" t="s">
        <v>166</v>
      </c>
    </row>
    <row r="23" spans="1:5" x14ac:dyDescent="0.35">
      <c r="A23" t="s">
        <v>59</v>
      </c>
      <c r="B23" t="s">
        <v>9</v>
      </c>
      <c r="C23" t="s">
        <v>157</v>
      </c>
      <c r="D23" t="s">
        <v>158</v>
      </c>
      <c r="E23" t="s">
        <v>165</v>
      </c>
    </row>
    <row r="24" spans="1:5" x14ac:dyDescent="0.35">
      <c r="A24" t="s">
        <v>61</v>
      </c>
      <c r="B24" t="s">
        <v>7</v>
      </c>
      <c r="C24" t="s">
        <v>157</v>
      </c>
      <c r="D24" t="s">
        <v>158</v>
      </c>
      <c r="E24" t="s">
        <v>161</v>
      </c>
    </row>
    <row r="25" spans="1:5" x14ac:dyDescent="0.35">
      <c r="A25" t="s">
        <v>62</v>
      </c>
      <c r="B25" t="s">
        <v>4</v>
      </c>
      <c r="C25" t="s">
        <v>157</v>
      </c>
      <c r="D25" t="s">
        <v>158</v>
      </c>
      <c r="E25" t="s">
        <v>166</v>
      </c>
    </row>
    <row r="26" spans="1:5" x14ac:dyDescent="0.35">
      <c r="A26" t="s">
        <v>63</v>
      </c>
      <c r="B26" t="s">
        <v>8</v>
      </c>
      <c r="C26" t="s">
        <v>157</v>
      </c>
      <c r="D26" t="s">
        <v>158</v>
      </c>
      <c r="E26" t="s">
        <v>166</v>
      </c>
    </row>
    <row r="27" spans="1:5" x14ac:dyDescent="0.35">
      <c r="A27" t="s">
        <v>64</v>
      </c>
      <c r="B27" t="s">
        <v>4</v>
      </c>
      <c r="C27" t="s">
        <v>157</v>
      </c>
      <c r="D27" t="s">
        <v>158</v>
      </c>
      <c r="E27" t="s">
        <v>166</v>
      </c>
    </row>
    <row r="28" spans="1:5" x14ac:dyDescent="0.35">
      <c r="A28" t="s">
        <v>65</v>
      </c>
      <c r="B28" t="s">
        <v>8</v>
      </c>
      <c r="C28" t="s">
        <v>157</v>
      </c>
      <c r="D28" t="s">
        <v>158</v>
      </c>
      <c r="E28" t="s">
        <v>166</v>
      </c>
    </row>
    <row r="29" spans="1:5" x14ac:dyDescent="0.35">
      <c r="A29" t="s">
        <v>173</v>
      </c>
      <c r="B29" t="s">
        <v>9</v>
      </c>
      <c r="C29" t="s">
        <v>157</v>
      </c>
      <c r="D29" t="s">
        <v>158</v>
      </c>
      <c r="E29" t="s">
        <v>165</v>
      </c>
    </row>
    <row r="30" spans="1:5" x14ac:dyDescent="0.35">
      <c r="A30" t="s">
        <v>174</v>
      </c>
      <c r="B30" t="s">
        <v>9</v>
      </c>
      <c r="C30" t="s">
        <v>163</v>
      </c>
      <c r="D30" t="s">
        <v>158</v>
      </c>
      <c r="E30" t="s">
        <v>165</v>
      </c>
    </row>
    <row r="31" spans="1:5" x14ac:dyDescent="0.35">
      <c r="A31" t="s">
        <v>66</v>
      </c>
      <c r="B31" t="s">
        <v>7</v>
      </c>
      <c r="C31" t="s">
        <v>157</v>
      </c>
      <c r="D31" t="s">
        <v>158</v>
      </c>
      <c r="E31" t="s">
        <v>161</v>
      </c>
    </row>
    <row r="32" spans="1:5" x14ac:dyDescent="0.35">
      <c r="A32" t="s">
        <v>68</v>
      </c>
      <c r="B32" t="s">
        <v>156</v>
      </c>
      <c r="C32" t="s">
        <v>160</v>
      </c>
      <c r="D32" t="s">
        <v>158</v>
      </c>
      <c r="E32" t="s">
        <v>159</v>
      </c>
    </row>
    <row r="33" spans="1:5" x14ac:dyDescent="0.35">
      <c r="A33" t="s">
        <v>69</v>
      </c>
      <c r="B33" t="s">
        <v>3</v>
      </c>
      <c r="C33" t="s">
        <v>157</v>
      </c>
      <c r="D33" t="s">
        <v>158</v>
      </c>
      <c r="E33" t="s">
        <v>161</v>
      </c>
    </row>
    <row r="34" spans="1:5" x14ac:dyDescent="0.35">
      <c r="A34" t="s">
        <v>70</v>
      </c>
      <c r="B34" t="s">
        <v>3</v>
      </c>
      <c r="C34" t="s">
        <v>157</v>
      </c>
      <c r="D34" t="s">
        <v>158</v>
      </c>
      <c r="E34" t="s">
        <v>161</v>
      </c>
    </row>
    <row r="35" spans="1:5" x14ac:dyDescent="0.35">
      <c r="A35" t="s">
        <v>71</v>
      </c>
      <c r="B35" t="s">
        <v>3</v>
      </c>
      <c r="C35" t="s">
        <v>157</v>
      </c>
      <c r="D35" t="s">
        <v>158</v>
      </c>
      <c r="E35" t="s">
        <v>161</v>
      </c>
    </row>
    <row r="36" spans="1:5" x14ac:dyDescent="0.35">
      <c r="A36" t="s">
        <v>141</v>
      </c>
      <c r="B36" t="s">
        <v>3</v>
      </c>
      <c r="C36" t="s">
        <v>163</v>
      </c>
      <c r="D36" t="s">
        <v>158</v>
      </c>
      <c r="E36" t="s">
        <v>161</v>
      </c>
    </row>
    <row r="37" spans="1:5" x14ac:dyDescent="0.35">
      <c r="A37" t="s">
        <v>72</v>
      </c>
      <c r="B37" t="s">
        <v>8</v>
      </c>
      <c r="C37" t="s">
        <v>157</v>
      </c>
      <c r="D37" t="s">
        <v>158</v>
      </c>
      <c r="E37" t="s">
        <v>166</v>
      </c>
    </row>
    <row r="38" spans="1:5" x14ac:dyDescent="0.35">
      <c r="A38" t="s">
        <v>74</v>
      </c>
      <c r="B38" t="s">
        <v>10</v>
      </c>
      <c r="C38" t="s">
        <v>157</v>
      </c>
      <c r="D38" t="s">
        <v>158</v>
      </c>
      <c r="E38" t="s">
        <v>165</v>
      </c>
    </row>
    <row r="39" spans="1:5" x14ac:dyDescent="0.35">
      <c r="A39" t="s">
        <v>75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35">
      <c r="A40" t="s">
        <v>76</v>
      </c>
      <c r="B40" t="s">
        <v>6</v>
      </c>
      <c r="C40" t="s">
        <v>157</v>
      </c>
      <c r="D40" t="s">
        <v>158</v>
      </c>
      <c r="E40" t="s">
        <v>159</v>
      </c>
    </row>
    <row r="41" spans="1:5" x14ac:dyDescent="0.35">
      <c r="A41" t="s">
        <v>77</v>
      </c>
      <c r="B41" t="s">
        <v>156</v>
      </c>
      <c r="C41" t="s">
        <v>157</v>
      </c>
      <c r="D41" t="s">
        <v>158</v>
      </c>
      <c r="E41" t="s">
        <v>159</v>
      </c>
    </row>
    <row r="42" spans="1:5" x14ac:dyDescent="0.35">
      <c r="A42" t="s">
        <v>79</v>
      </c>
      <c r="B42" t="s">
        <v>156</v>
      </c>
      <c r="C42" t="s">
        <v>157</v>
      </c>
      <c r="D42" t="s">
        <v>158</v>
      </c>
      <c r="E42" t="s">
        <v>159</v>
      </c>
    </row>
    <row r="43" spans="1:5" x14ac:dyDescent="0.35">
      <c r="A43" t="s">
        <v>81</v>
      </c>
      <c r="B43" t="s">
        <v>175</v>
      </c>
      <c r="C43" t="s">
        <v>157</v>
      </c>
      <c r="D43" t="s">
        <v>158</v>
      </c>
      <c r="E43" t="s">
        <v>159</v>
      </c>
    </row>
    <row r="44" spans="1:5" x14ac:dyDescent="0.35">
      <c r="A44" t="s">
        <v>82</v>
      </c>
      <c r="B44" t="s">
        <v>6</v>
      </c>
      <c r="C44" t="s">
        <v>157</v>
      </c>
      <c r="D44" t="s">
        <v>158</v>
      </c>
      <c r="E44" t="s">
        <v>159</v>
      </c>
    </row>
    <row r="45" spans="1:5" x14ac:dyDescent="0.35">
      <c r="A45" t="s">
        <v>143</v>
      </c>
      <c r="B45" t="s">
        <v>6</v>
      </c>
      <c r="C45" t="s">
        <v>169</v>
      </c>
      <c r="D45" t="s">
        <v>158</v>
      </c>
      <c r="E45" t="s">
        <v>165</v>
      </c>
    </row>
    <row r="46" spans="1:5" x14ac:dyDescent="0.35">
      <c r="A46" t="s">
        <v>176</v>
      </c>
      <c r="B46" t="s">
        <v>168</v>
      </c>
      <c r="C46" t="s">
        <v>169</v>
      </c>
      <c r="D46" t="s">
        <v>158</v>
      </c>
      <c r="E46" t="s">
        <v>164</v>
      </c>
    </row>
    <row r="47" spans="1:5" x14ac:dyDescent="0.35">
      <c r="A47" t="s">
        <v>177</v>
      </c>
      <c r="B47" t="s">
        <v>4</v>
      </c>
      <c r="C47" t="s">
        <v>163</v>
      </c>
      <c r="D47" t="s">
        <v>158</v>
      </c>
      <c r="E47" t="s">
        <v>164</v>
      </c>
    </row>
    <row r="48" spans="1:5" x14ac:dyDescent="0.35">
      <c r="A48" t="s">
        <v>84</v>
      </c>
      <c r="B48" t="s">
        <v>3</v>
      </c>
      <c r="C48" t="s">
        <v>157</v>
      </c>
      <c r="D48" t="s">
        <v>158</v>
      </c>
      <c r="E48" t="s">
        <v>161</v>
      </c>
    </row>
    <row r="49" spans="1:5" x14ac:dyDescent="0.35">
      <c r="A49" t="s">
        <v>137</v>
      </c>
      <c r="B49" t="s">
        <v>4</v>
      </c>
      <c r="C49" t="s">
        <v>163</v>
      </c>
      <c r="D49" t="s">
        <v>158</v>
      </c>
      <c r="E49" t="s">
        <v>166</v>
      </c>
    </row>
    <row r="50" spans="1:5" x14ac:dyDescent="0.35">
      <c r="A50" t="s">
        <v>178</v>
      </c>
      <c r="B50" t="s">
        <v>9</v>
      </c>
      <c r="C50" t="s">
        <v>157</v>
      </c>
      <c r="D50" t="s">
        <v>158</v>
      </c>
      <c r="E50" t="s">
        <v>165</v>
      </c>
    </row>
    <row r="51" spans="1:5" x14ac:dyDescent="0.35">
      <c r="A51" t="s">
        <v>85</v>
      </c>
      <c r="B51" t="s">
        <v>7</v>
      </c>
      <c r="C51" t="s">
        <v>157</v>
      </c>
      <c r="D51" t="s">
        <v>158</v>
      </c>
      <c r="E51" t="s">
        <v>161</v>
      </c>
    </row>
    <row r="52" spans="1:5" x14ac:dyDescent="0.35">
      <c r="A52" t="s">
        <v>86</v>
      </c>
      <c r="B52" t="s">
        <v>4</v>
      </c>
      <c r="C52" t="s">
        <v>157</v>
      </c>
      <c r="D52" t="s">
        <v>158</v>
      </c>
      <c r="E52" t="s">
        <v>166</v>
      </c>
    </row>
    <row r="53" spans="1:5" x14ac:dyDescent="0.35">
      <c r="A53" t="s">
        <v>87</v>
      </c>
      <c r="B53" t="s">
        <v>156</v>
      </c>
      <c r="C53" t="s">
        <v>157</v>
      </c>
      <c r="D53" t="s">
        <v>158</v>
      </c>
      <c r="E53" t="s">
        <v>159</v>
      </c>
    </row>
    <row r="54" spans="1:5" x14ac:dyDescent="0.35">
      <c r="A54" t="s">
        <v>144</v>
      </c>
      <c r="B54" t="s">
        <v>6</v>
      </c>
      <c r="C54" t="s">
        <v>169</v>
      </c>
      <c r="D54" t="s">
        <v>158</v>
      </c>
      <c r="E54" t="s">
        <v>165</v>
      </c>
    </row>
    <row r="55" spans="1:5" x14ac:dyDescent="0.35">
      <c r="A55" t="s">
        <v>88</v>
      </c>
      <c r="B55" t="s">
        <v>9</v>
      </c>
      <c r="C55" t="s">
        <v>157</v>
      </c>
      <c r="D55" t="s">
        <v>158</v>
      </c>
      <c r="E55" t="s">
        <v>165</v>
      </c>
    </row>
    <row r="56" spans="1:5" x14ac:dyDescent="0.35">
      <c r="A56" t="s">
        <v>89</v>
      </c>
      <c r="B56" t="s">
        <v>10</v>
      </c>
      <c r="C56" t="s">
        <v>157</v>
      </c>
      <c r="D56" t="s">
        <v>158</v>
      </c>
      <c r="E56" t="s">
        <v>165</v>
      </c>
    </row>
    <row r="57" spans="1:5" x14ac:dyDescent="0.35">
      <c r="A57" t="s">
        <v>91</v>
      </c>
      <c r="B57" t="s">
        <v>7</v>
      </c>
      <c r="C57" t="s">
        <v>157</v>
      </c>
      <c r="D57" t="s">
        <v>158</v>
      </c>
      <c r="E57" t="s">
        <v>161</v>
      </c>
    </row>
    <row r="58" spans="1:5" x14ac:dyDescent="0.35">
      <c r="A58" t="s">
        <v>92</v>
      </c>
      <c r="B58" t="s">
        <v>7</v>
      </c>
      <c r="C58" t="s">
        <v>157</v>
      </c>
      <c r="D58" t="s">
        <v>158</v>
      </c>
      <c r="E58" t="s">
        <v>161</v>
      </c>
    </row>
    <row r="59" spans="1:5" x14ac:dyDescent="0.35">
      <c r="A59" t="s">
        <v>93</v>
      </c>
      <c r="B59" t="s">
        <v>6</v>
      </c>
      <c r="C59" t="s">
        <v>157</v>
      </c>
      <c r="D59" t="s">
        <v>158</v>
      </c>
      <c r="E59" t="s">
        <v>159</v>
      </c>
    </row>
    <row r="60" spans="1:5" x14ac:dyDescent="0.35">
      <c r="A60" t="s">
        <v>94</v>
      </c>
      <c r="B60" t="s">
        <v>7</v>
      </c>
      <c r="C60" t="s">
        <v>157</v>
      </c>
      <c r="D60" t="s">
        <v>158</v>
      </c>
      <c r="E60" t="s">
        <v>161</v>
      </c>
    </row>
    <row r="61" spans="1:5" x14ac:dyDescent="0.35">
      <c r="A61" t="s">
        <v>95</v>
      </c>
      <c r="B61" t="s">
        <v>9</v>
      </c>
      <c r="C61" t="s">
        <v>157</v>
      </c>
      <c r="D61" t="s">
        <v>158</v>
      </c>
      <c r="E61" t="s">
        <v>165</v>
      </c>
    </row>
    <row r="62" spans="1:5" x14ac:dyDescent="0.35">
      <c r="A62" t="s">
        <v>96</v>
      </c>
      <c r="B62" t="s">
        <v>175</v>
      </c>
      <c r="C62" t="s">
        <v>160</v>
      </c>
      <c r="D62" t="s">
        <v>158</v>
      </c>
      <c r="E62" t="s">
        <v>159</v>
      </c>
    </row>
    <row r="63" spans="1:5" x14ac:dyDescent="0.35">
      <c r="A63" t="s">
        <v>97</v>
      </c>
      <c r="B63" t="s">
        <v>156</v>
      </c>
      <c r="C63" t="s">
        <v>157</v>
      </c>
      <c r="D63" t="s">
        <v>158</v>
      </c>
      <c r="E63" t="s">
        <v>159</v>
      </c>
    </row>
    <row r="64" spans="1:5" x14ac:dyDescent="0.35">
      <c r="A64" t="s">
        <v>179</v>
      </c>
      <c r="B64" t="s">
        <v>168</v>
      </c>
      <c r="C64" t="s">
        <v>169</v>
      </c>
      <c r="D64" t="s">
        <v>158</v>
      </c>
      <c r="E64" t="s">
        <v>164</v>
      </c>
    </row>
    <row r="65" spans="1:5" x14ac:dyDescent="0.35">
      <c r="A65" t="s">
        <v>99</v>
      </c>
      <c r="B65" t="s">
        <v>156</v>
      </c>
      <c r="C65" t="s">
        <v>157</v>
      </c>
      <c r="D65" t="s">
        <v>158</v>
      </c>
      <c r="E65" t="s">
        <v>159</v>
      </c>
    </row>
    <row r="66" spans="1:5" x14ac:dyDescent="0.35">
      <c r="A66" t="s">
        <v>100</v>
      </c>
      <c r="B66" t="s">
        <v>7</v>
      </c>
      <c r="C66" t="s">
        <v>157</v>
      </c>
      <c r="D66" t="s">
        <v>158</v>
      </c>
      <c r="E66" t="s">
        <v>161</v>
      </c>
    </row>
    <row r="67" spans="1:5" x14ac:dyDescent="0.35">
      <c r="A67" t="s">
        <v>101</v>
      </c>
      <c r="B67" t="s">
        <v>3</v>
      </c>
      <c r="C67" t="s">
        <v>157</v>
      </c>
      <c r="D67" t="s">
        <v>158</v>
      </c>
      <c r="E67" t="s">
        <v>161</v>
      </c>
    </row>
    <row r="68" spans="1:5" x14ac:dyDescent="0.35">
      <c r="A68" t="s">
        <v>102</v>
      </c>
      <c r="B68" t="s">
        <v>156</v>
      </c>
      <c r="C68" t="s">
        <v>157</v>
      </c>
      <c r="D68" t="s">
        <v>158</v>
      </c>
      <c r="E68" t="s">
        <v>159</v>
      </c>
    </row>
    <row r="69" spans="1:5" x14ac:dyDescent="0.35">
      <c r="A69" t="s">
        <v>103</v>
      </c>
      <c r="B69" t="s">
        <v>9</v>
      </c>
      <c r="C69" t="s">
        <v>157</v>
      </c>
      <c r="D69" t="s">
        <v>158</v>
      </c>
      <c r="E69" t="s">
        <v>165</v>
      </c>
    </row>
    <row r="70" spans="1:5" x14ac:dyDescent="0.35">
      <c r="A70" t="s">
        <v>104</v>
      </c>
      <c r="B70" t="s">
        <v>4</v>
      </c>
      <c r="C70" t="s">
        <v>157</v>
      </c>
      <c r="D70" t="s">
        <v>158</v>
      </c>
      <c r="E70" t="s">
        <v>166</v>
      </c>
    </row>
    <row r="71" spans="1:5" x14ac:dyDescent="0.35">
      <c r="A71" t="s">
        <v>180</v>
      </c>
      <c r="B71" t="s">
        <v>4</v>
      </c>
      <c r="C71" t="s">
        <v>163</v>
      </c>
      <c r="D71" t="s">
        <v>158</v>
      </c>
      <c r="E71" t="s">
        <v>166</v>
      </c>
    </row>
    <row r="72" spans="1:5" x14ac:dyDescent="0.35">
      <c r="A72" t="s">
        <v>106</v>
      </c>
      <c r="B72" t="s">
        <v>4</v>
      </c>
      <c r="C72" t="s">
        <v>157</v>
      </c>
      <c r="D72" t="s">
        <v>158</v>
      </c>
      <c r="E72" t="s">
        <v>166</v>
      </c>
    </row>
    <row r="73" spans="1:5" x14ac:dyDescent="0.35">
      <c r="A73" t="s">
        <v>107</v>
      </c>
      <c r="B73" t="s">
        <v>9</v>
      </c>
      <c r="C73" t="s">
        <v>157</v>
      </c>
      <c r="D73" t="s">
        <v>158</v>
      </c>
      <c r="E73" t="s">
        <v>165</v>
      </c>
    </row>
    <row r="74" spans="1:5" x14ac:dyDescent="0.35">
      <c r="A74" t="s">
        <v>52</v>
      </c>
      <c r="B74" t="s">
        <v>3</v>
      </c>
      <c r="C74" t="s">
        <v>157</v>
      </c>
      <c r="D74" t="s">
        <v>158</v>
      </c>
      <c r="E74" t="s">
        <v>161</v>
      </c>
    </row>
    <row r="75" spans="1:5" x14ac:dyDescent="0.35">
      <c r="A75" t="s">
        <v>108</v>
      </c>
      <c r="B75" t="s">
        <v>10</v>
      </c>
      <c r="C75" t="s">
        <v>157</v>
      </c>
      <c r="D75" t="s">
        <v>158</v>
      </c>
      <c r="E75" t="s">
        <v>165</v>
      </c>
    </row>
    <row r="76" spans="1:5" x14ac:dyDescent="0.35">
      <c r="A76" t="s">
        <v>181</v>
      </c>
      <c r="B76" t="s">
        <v>182</v>
      </c>
      <c r="C76" t="s">
        <v>183</v>
      </c>
      <c r="D76" t="s">
        <v>158</v>
      </c>
      <c r="E76" t="s">
        <v>164</v>
      </c>
    </row>
    <row r="77" spans="1:5" x14ac:dyDescent="0.35">
      <c r="A77" t="s">
        <v>109</v>
      </c>
      <c r="B77" t="s">
        <v>7</v>
      </c>
      <c r="C77" t="s">
        <v>157</v>
      </c>
      <c r="D77" t="s">
        <v>158</v>
      </c>
      <c r="E77" t="s">
        <v>161</v>
      </c>
    </row>
    <row r="78" spans="1:5" x14ac:dyDescent="0.35">
      <c r="A78" t="s">
        <v>184</v>
      </c>
      <c r="B78" t="s">
        <v>182</v>
      </c>
      <c r="C78" t="s">
        <v>185</v>
      </c>
      <c r="D78" t="s">
        <v>158</v>
      </c>
      <c r="E78" t="s">
        <v>165</v>
      </c>
    </row>
    <row r="79" spans="1:5" x14ac:dyDescent="0.35">
      <c r="A79" t="s">
        <v>110</v>
      </c>
      <c r="B79" t="s">
        <v>3</v>
      </c>
      <c r="C79" t="s">
        <v>157</v>
      </c>
      <c r="D79" t="s">
        <v>158</v>
      </c>
      <c r="E79" t="s">
        <v>161</v>
      </c>
    </row>
    <row r="80" spans="1:5" x14ac:dyDescent="0.35">
      <c r="A80" t="s">
        <v>111</v>
      </c>
      <c r="B80" t="s">
        <v>4</v>
      </c>
      <c r="C80" t="s">
        <v>157</v>
      </c>
      <c r="D80" t="s">
        <v>158</v>
      </c>
      <c r="E80" t="s">
        <v>166</v>
      </c>
    </row>
    <row r="81" spans="1:5" x14ac:dyDescent="0.35">
      <c r="A81" t="s">
        <v>112</v>
      </c>
      <c r="B81" t="s">
        <v>4</v>
      </c>
      <c r="C81" t="s">
        <v>157</v>
      </c>
      <c r="D81" t="s">
        <v>158</v>
      </c>
      <c r="E81" t="s">
        <v>166</v>
      </c>
    </row>
    <row r="82" spans="1:5" x14ac:dyDescent="0.35">
      <c r="A82" t="s">
        <v>113</v>
      </c>
      <c r="B82" t="s">
        <v>3</v>
      </c>
      <c r="C82" t="s">
        <v>157</v>
      </c>
      <c r="D82" t="s">
        <v>158</v>
      </c>
      <c r="E82" t="s">
        <v>166</v>
      </c>
    </row>
    <row r="83" spans="1:5" x14ac:dyDescent="0.35">
      <c r="A83" t="s">
        <v>114</v>
      </c>
      <c r="B83" t="s">
        <v>156</v>
      </c>
      <c r="C83" t="s">
        <v>157</v>
      </c>
      <c r="D83" t="s">
        <v>158</v>
      </c>
      <c r="E83" t="s">
        <v>159</v>
      </c>
    </row>
    <row r="84" spans="1:5" x14ac:dyDescent="0.35">
      <c r="A84" t="s">
        <v>115</v>
      </c>
      <c r="B84" t="s">
        <v>8</v>
      </c>
      <c r="C84" t="s">
        <v>157</v>
      </c>
      <c r="D84" t="s">
        <v>158</v>
      </c>
      <c r="E84" t="s">
        <v>166</v>
      </c>
    </row>
    <row r="85" spans="1:5" x14ac:dyDescent="0.35">
      <c r="A85" t="s">
        <v>186</v>
      </c>
      <c r="B85" t="s">
        <v>9</v>
      </c>
      <c r="C85" t="s">
        <v>187</v>
      </c>
      <c r="D85" t="s">
        <v>158</v>
      </c>
      <c r="E85" t="s">
        <v>164</v>
      </c>
    </row>
    <row r="86" spans="1:5" x14ac:dyDescent="0.35">
      <c r="A86" t="s">
        <v>116</v>
      </c>
      <c r="B86" t="s">
        <v>9</v>
      </c>
      <c r="C86" t="s">
        <v>157</v>
      </c>
      <c r="D86" t="s">
        <v>158</v>
      </c>
      <c r="E86" t="s">
        <v>165</v>
      </c>
    </row>
    <row r="87" spans="1:5" x14ac:dyDescent="0.35">
      <c r="A87" t="s">
        <v>188</v>
      </c>
      <c r="B87" t="s">
        <v>9</v>
      </c>
      <c r="C87" t="s">
        <v>163</v>
      </c>
      <c r="D87" t="s">
        <v>158</v>
      </c>
      <c r="E87" t="s">
        <v>165</v>
      </c>
    </row>
    <row r="88" spans="1:5" x14ac:dyDescent="0.35">
      <c r="A88" t="s">
        <v>117</v>
      </c>
      <c r="B88" t="s">
        <v>8</v>
      </c>
      <c r="C88" t="s">
        <v>157</v>
      </c>
      <c r="D88" t="s">
        <v>158</v>
      </c>
      <c r="E88" t="s">
        <v>166</v>
      </c>
    </row>
    <row r="89" spans="1:5" x14ac:dyDescent="0.35">
      <c r="A89" t="s">
        <v>189</v>
      </c>
      <c r="B89" t="s">
        <v>6</v>
      </c>
      <c r="C89" t="s">
        <v>169</v>
      </c>
      <c r="D89" t="s">
        <v>158</v>
      </c>
      <c r="E89" t="s">
        <v>164</v>
      </c>
    </row>
    <row r="90" spans="1:5" x14ac:dyDescent="0.35">
      <c r="A90" t="s">
        <v>190</v>
      </c>
      <c r="B90" t="s">
        <v>4</v>
      </c>
      <c r="C90" t="s">
        <v>187</v>
      </c>
      <c r="D90" t="s">
        <v>158</v>
      </c>
      <c r="E90" t="s">
        <v>164</v>
      </c>
    </row>
    <row r="91" spans="1:5" x14ac:dyDescent="0.35">
      <c r="A91" t="s">
        <v>119</v>
      </c>
      <c r="B91" t="s">
        <v>3</v>
      </c>
      <c r="C91" t="s">
        <v>157</v>
      </c>
      <c r="D91" t="s">
        <v>158</v>
      </c>
      <c r="E91" t="s">
        <v>161</v>
      </c>
    </row>
    <row r="92" spans="1:5" x14ac:dyDescent="0.35">
      <c r="A92" t="s">
        <v>191</v>
      </c>
      <c r="B92" t="s">
        <v>6</v>
      </c>
      <c r="C92" t="s">
        <v>169</v>
      </c>
      <c r="D92" t="s">
        <v>158</v>
      </c>
      <c r="E92" t="s">
        <v>164</v>
      </c>
    </row>
    <row r="93" spans="1:5" x14ac:dyDescent="0.35">
      <c r="A93" t="s">
        <v>192</v>
      </c>
      <c r="B93" t="s">
        <v>182</v>
      </c>
      <c r="C93" t="s">
        <v>185</v>
      </c>
      <c r="D93" t="s">
        <v>158</v>
      </c>
      <c r="E93" t="s">
        <v>165</v>
      </c>
    </row>
    <row r="94" spans="1:5" x14ac:dyDescent="0.35">
      <c r="A94" t="s">
        <v>193</v>
      </c>
      <c r="B94" t="s">
        <v>194</v>
      </c>
      <c r="C94" t="s">
        <v>195</v>
      </c>
      <c r="D94" t="s">
        <v>158</v>
      </c>
      <c r="E94" t="s">
        <v>164</v>
      </c>
    </row>
    <row r="95" spans="1:5" x14ac:dyDescent="0.35">
      <c r="A95" t="s">
        <v>196</v>
      </c>
      <c r="B95" t="s">
        <v>6</v>
      </c>
      <c r="C95" t="s">
        <v>169</v>
      </c>
      <c r="D95" t="s">
        <v>158</v>
      </c>
      <c r="E95" t="s">
        <v>164</v>
      </c>
    </row>
    <row r="96" spans="1:5" x14ac:dyDescent="0.35">
      <c r="A96" t="s">
        <v>197</v>
      </c>
      <c r="B96" t="s">
        <v>6</v>
      </c>
      <c r="C96" t="s">
        <v>169</v>
      </c>
      <c r="D96" t="s">
        <v>158</v>
      </c>
      <c r="E96" t="s">
        <v>164</v>
      </c>
    </row>
    <row r="97" spans="1:5" x14ac:dyDescent="0.35">
      <c r="A97" t="s">
        <v>198</v>
      </c>
      <c r="B97" t="s">
        <v>10</v>
      </c>
      <c r="C97" t="s">
        <v>163</v>
      </c>
      <c r="D97" t="s">
        <v>158</v>
      </c>
      <c r="E97" t="s">
        <v>164</v>
      </c>
    </row>
    <row r="98" spans="1:5" x14ac:dyDescent="0.35">
      <c r="A98" t="s">
        <v>120</v>
      </c>
      <c r="B98" t="s">
        <v>175</v>
      </c>
      <c r="C98" t="s">
        <v>157</v>
      </c>
      <c r="D98" t="s">
        <v>158</v>
      </c>
      <c r="E98" t="s">
        <v>159</v>
      </c>
    </row>
    <row r="99" spans="1:5" x14ac:dyDescent="0.35">
      <c r="A99" t="s">
        <v>199</v>
      </c>
      <c r="B99" t="s">
        <v>200</v>
      </c>
      <c r="C99" t="s">
        <v>157</v>
      </c>
      <c r="D99" t="s">
        <v>158</v>
      </c>
      <c r="E99" t="s">
        <v>165</v>
      </c>
    </row>
    <row r="100" spans="1:5" x14ac:dyDescent="0.35">
      <c r="A100" t="s">
        <v>121</v>
      </c>
      <c r="B100" t="s">
        <v>7</v>
      </c>
      <c r="C100" t="s">
        <v>157</v>
      </c>
      <c r="D100" t="s">
        <v>158</v>
      </c>
      <c r="E100" t="s">
        <v>161</v>
      </c>
    </row>
    <row r="101" spans="1:5" x14ac:dyDescent="0.35">
      <c r="A101" t="s">
        <v>201</v>
      </c>
      <c r="B101" t="s">
        <v>182</v>
      </c>
      <c r="C101" t="s">
        <v>183</v>
      </c>
      <c r="D101" t="s">
        <v>158</v>
      </c>
      <c r="E101" t="s">
        <v>164</v>
      </c>
    </row>
    <row r="102" spans="1:5" x14ac:dyDescent="0.35">
      <c r="A102" t="s">
        <v>202</v>
      </c>
      <c r="B102" t="s">
        <v>10</v>
      </c>
      <c r="C102" t="s">
        <v>163</v>
      </c>
      <c r="D102" t="s">
        <v>158</v>
      </c>
      <c r="E102" t="s">
        <v>164</v>
      </c>
    </row>
    <row r="103" spans="1:5" x14ac:dyDescent="0.35">
      <c r="A103" t="s">
        <v>203</v>
      </c>
      <c r="B103" t="s">
        <v>194</v>
      </c>
      <c r="C103" t="s">
        <v>183</v>
      </c>
      <c r="D103" t="s">
        <v>158</v>
      </c>
      <c r="E103" t="s">
        <v>164</v>
      </c>
    </row>
    <row r="104" spans="1:5" x14ac:dyDescent="0.35">
      <c r="A104" t="s">
        <v>204</v>
      </c>
      <c r="B104" t="s">
        <v>7</v>
      </c>
      <c r="C104" t="s">
        <v>163</v>
      </c>
      <c r="D104" t="s">
        <v>158</v>
      </c>
      <c r="E104" t="s">
        <v>161</v>
      </c>
    </row>
    <row r="105" spans="1:5" x14ac:dyDescent="0.35">
      <c r="A105" t="s">
        <v>205</v>
      </c>
      <c r="B105" t="s">
        <v>194</v>
      </c>
      <c r="C105" t="s">
        <v>183</v>
      </c>
      <c r="D105" t="s">
        <v>158</v>
      </c>
      <c r="E105" t="s">
        <v>165</v>
      </c>
    </row>
    <row r="106" spans="1:5" x14ac:dyDescent="0.35">
      <c r="A106" t="s">
        <v>206</v>
      </c>
      <c r="B106" t="s">
        <v>207</v>
      </c>
      <c r="C106" t="s">
        <v>183</v>
      </c>
      <c r="D106" t="s">
        <v>158</v>
      </c>
      <c r="E106" t="s">
        <v>164</v>
      </c>
    </row>
    <row r="107" spans="1:5" x14ac:dyDescent="0.35">
      <c r="A107" t="s">
        <v>208</v>
      </c>
      <c r="B107" t="s">
        <v>207</v>
      </c>
      <c r="C107" t="s">
        <v>183</v>
      </c>
      <c r="D107" t="s">
        <v>158</v>
      </c>
      <c r="E107" t="s">
        <v>164</v>
      </c>
    </row>
    <row r="108" spans="1:5" x14ac:dyDescent="0.35">
      <c r="A108" t="s">
        <v>149</v>
      </c>
      <c r="B108" t="s">
        <v>7</v>
      </c>
      <c r="C108" t="s">
        <v>163</v>
      </c>
      <c r="D108" t="s">
        <v>158</v>
      </c>
      <c r="E108" t="s">
        <v>165</v>
      </c>
    </row>
    <row r="109" spans="1:5" x14ac:dyDescent="0.35">
      <c r="A109" t="s">
        <v>209</v>
      </c>
      <c r="B109" t="s">
        <v>200</v>
      </c>
      <c r="C109" t="s">
        <v>157</v>
      </c>
      <c r="D109" t="s">
        <v>158</v>
      </c>
      <c r="E109" t="s">
        <v>165</v>
      </c>
    </row>
    <row r="110" spans="1:5" x14ac:dyDescent="0.35">
      <c r="A110" t="s">
        <v>210</v>
      </c>
      <c r="B110" t="s">
        <v>207</v>
      </c>
      <c r="C110" t="s">
        <v>183</v>
      </c>
      <c r="D110" t="s">
        <v>158</v>
      </c>
      <c r="E110" t="s">
        <v>164</v>
      </c>
    </row>
    <row r="111" spans="1:5" x14ac:dyDescent="0.35">
      <c r="A111" t="s">
        <v>211</v>
      </c>
      <c r="B111" t="s">
        <v>207</v>
      </c>
      <c r="C111" t="s">
        <v>183</v>
      </c>
      <c r="D111" t="s">
        <v>158</v>
      </c>
      <c r="E111" t="s">
        <v>164</v>
      </c>
    </row>
    <row r="112" spans="1:5" x14ac:dyDescent="0.35">
      <c r="A112" t="s">
        <v>212</v>
      </c>
      <c r="B112" t="s">
        <v>207</v>
      </c>
      <c r="C112" t="s">
        <v>183</v>
      </c>
      <c r="D112" t="s">
        <v>158</v>
      </c>
      <c r="E112" t="s">
        <v>164</v>
      </c>
    </row>
    <row r="113" spans="1:5" x14ac:dyDescent="0.35">
      <c r="A113" t="s">
        <v>213</v>
      </c>
      <c r="B113" t="s">
        <v>200</v>
      </c>
      <c r="C113" t="s">
        <v>157</v>
      </c>
      <c r="D113" t="s">
        <v>158</v>
      </c>
      <c r="E113" t="s">
        <v>165</v>
      </c>
    </row>
    <row r="114" spans="1:5" x14ac:dyDescent="0.35">
      <c r="A114" t="s">
        <v>214</v>
      </c>
      <c r="B114" t="s">
        <v>168</v>
      </c>
      <c r="C114" t="s">
        <v>169</v>
      </c>
      <c r="D114" t="s">
        <v>158</v>
      </c>
      <c r="E114" t="s">
        <v>164</v>
      </c>
    </row>
    <row r="115" spans="1:5" x14ac:dyDescent="0.35">
      <c r="A115" t="s">
        <v>215</v>
      </c>
      <c r="B115" t="s">
        <v>207</v>
      </c>
      <c r="C115" t="s">
        <v>183</v>
      </c>
      <c r="D115" t="s">
        <v>158</v>
      </c>
      <c r="E115" t="s">
        <v>164</v>
      </c>
    </row>
    <row r="116" spans="1:5" x14ac:dyDescent="0.35">
      <c r="A116" t="s">
        <v>216</v>
      </c>
      <c r="B116" t="s">
        <v>7</v>
      </c>
      <c r="C116" t="s">
        <v>163</v>
      </c>
      <c r="D116" t="s">
        <v>158</v>
      </c>
      <c r="E116" t="s">
        <v>165</v>
      </c>
    </row>
    <row r="117" spans="1:5" x14ac:dyDescent="0.35">
      <c r="A117" t="s">
        <v>123</v>
      </c>
      <c r="B117" t="s">
        <v>4</v>
      </c>
      <c r="C117" t="s">
        <v>163</v>
      </c>
      <c r="D117" t="s">
        <v>158</v>
      </c>
      <c r="E117" t="s">
        <v>165</v>
      </c>
    </row>
    <row r="118" spans="1:5" x14ac:dyDescent="0.35">
      <c r="A118" t="s">
        <v>136</v>
      </c>
      <c r="B118" t="s">
        <v>3</v>
      </c>
      <c r="C118" t="s">
        <v>163</v>
      </c>
      <c r="D118" t="s">
        <v>158</v>
      </c>
      <c r="E118" t="s">
        <v>165</v>
      </c>
    </row>
    <row r="119" spans="1:5" x14ac:dyDescent="0.35">
      <c r="A119" t="s">
        <v>217</v>
      </c>
      <c r="B119" t="s">
        <v>207</v>
      </c>
      <c r="C119" t="s">
        <v>183</v>
      </c>
      <c r="D119" t="s">
        <v>158</v>
      </c>
      <c r="E119" t="s">
        <v>164</v>
      </c>
    </row>
    <row r="120" spans="1:5" x14ac:dyDescent="0.35">
      <c r="A120" t="s">
        <v>138</v>
      </c>
      <c r="B120" t="s">
        <v>8</v>
      </c>
      <c r="C120" t="s">
        <v>163</v>
      </c>
      <c r="D120" t="s">
        <v>158</v>
      </c>
      <c r="E120" t="s">
        <v>166</v>
      </c>
    </row>
    <row r="121" spans="1:5" x14ac:dyDescent="0.35">
      <c r="A121" t="s">
        <v>218</v>
      </c>
      <c r="B121" t="s">
        <v>9</v>
      </c>
      <c r="C121" t="s">
        <v>163</v>
      </c>
      <c r="D121" t="s">
        <v>158</v>
      </c>
      <c r="E121" t="s">
        <v>164</v>
      </c>
    </row>
    <row r="122" spans="1:5" x14ac:dyDescent="0.35">
      <c r="A122" t="s">
        <v>219</v>
      </c>
      <c r="B122" t="s">
        <v>207</v>
      </c>
      <c r="C122" t="s">
        <v>185</v>
      </c>
      <c r="D122" t="s">
        <v>158</v>
      </c>
      <c r="E122" t="s">
        <v>165</v>
      </c>
    </row>
    <row r="123" spans="1:5" x14ac:dyDescent="0.35">
      <c r="A123" t="s">
        <v>220</v>
      </c>
      <c r="B123" t="s">
        <v>7</v>
      </c>
      <c r="C123" t="s">
        <v>163</v>
      </c>
      <c r="D123" t="s">
        <v>158</v>
      </c>
      <c r="E123" t="s">
        <v>161</v>
      </c>
    </row>
    <row r="124" spans="1:5" x14ac:dyDescent="0.35">
      <c r="A124" t="s">
        <v>221</v>
      </c>
      <c r="B124" t="s">
        <v>4</v>
      </c>
      <c r="C124" t="s">
        <v>163</v>
      </c>
      <c r="D124" t="s">
        <v>158</v>
      </c>
      <c r="E124" t="s">
        <v>164</v>
      </c>
    </row>
    <row r="125" spans="1:5" x14ac:dyDescent="0.35">
      <c r="A125" t="s">
        <v>124</v>
      </c>
      <c r="B125" t="s">
        <v>6</v>
      </c>
      <c r="C125" t="s">
        <v>157</v>
      </c>
      <c r="D125" t="s">
        <v>158</v>
      </c>
      <c r="E125" t="s">
        <v>159</v>
      </c>
    </row>
    <row r="126" spans="1:5" x14ac:dyDescent="0.35">
      <c r="A126" t="s">
        <v>222</v>
      </c>
      <c r="B126" t="s">
        <v>6</v>
      </c>
      <c r="C126" t="s">
        <v>169</v>
      </c>
      <c r="D126" t="s">
        <v>158</v>
      </c>
      <c r="E126" t="s">
        <v>159</v>
      </c>
    </row>
    <row r="127" spans="1:5" x14ac:dyDescent="0.35">
      <c r="A127" t="s">
        <v>223</v>
      </c>
      <c r="B127" t="s">
        <v>6</v>
      </c>
      <c r="C127" t="s">
        <v>169</v>
      </c>
      <c r="D127" t="s">
        <v>158</v>
      </c>
      <c r="E127" t="s">
        <v>164</v>
      </c>
    </row>
    <row r="128" spans="1:5" x14ac:dyDescent="0.35">
      <c r="A128" t="s">
        <v>224</v>
      </c>
      <c r="B128" t="s">
        <v>168</v>
      </c>
      <c r="C128" t="s">
        <v>169</v>
      </c>
      <c r="D128" t="s">
        <v>158</v>
      </c>
      <c r="E128" t="s">
        <v>164</v>
      </c>
    </row>
    <row r="129" spans="1:5" x14ac:dyDescent="0.35">
      <c r="A129" t="s">
        <v>225</v>
      </c>
      <c r="B129" t="s">
        <v>10</v>
      </c>
      <c r="C129" t="s">
        <v>163</v>
      </c>
      <c r="D129" t="s">
        <v>158</v>
      </c>
      <c r="E129" t="s">
        <v>164</v>
      </c>
    </row>
    <row r="130" spans="1:5" x14ac:dyDescent="0.35">
      <c r="A130" t="s">
        <v>139</v>
      </c>
      <c r="B130" t="s">
        <v>7</v>
      </c>
      <c r="C130" t="s">
        <v>163</v>
      </c>
      <c r="D130" t="s">
        <v>158</v>
      </c>
      <c r="E130" t="s">
        <v>165</v>
      </c>
    </row>
    <row r="131" spans="1:5" x14ac:dyDescent="0.35">
      <c r="A131" t="s">
        <v>226</v>
      </c>
      <c r="B131" t="s">
        <v>4</v>
      </c>
      <c r="C131" t="s">
        <v>163</v>
      </c>
      <c r="D131" t="s">
        <v>158</v>
      </c>
      <c r="E131" t="s">
        <v>164</v>
      </c>
    </row>
    <row r="132" spans="1:5" x14ac:dyDescent="0.35">
      <c r="A132" t="s">
        <v>142</v>
      </c>
      <c r="B132" t="s">
        <v>3</v>
      </c>
      <c r="C132" t="s">
        <v>163</v>
      </c>
      <c r="D132" t="s">
        <v>158</v>
      </c>
      <c r="E132" t="s">
        <v>165</v>
      </c>
    </row>
    <row r="133" spans="1:5" x14ac:dyDescent="0.35">
      <c r="A133" t="s">
        <v>125</v>
      </c>
      <c r="B133" t="s">
        <v>6</v>
      </c>
      <c r="C133" t="s">
        <v>157</v>
      </c>
      <c r="D133" t="s">
        <v>158</v>
      </c>
      <c r="E133" t="s">
        <v>159</v>
      </c>
    </row>
    <row r="134" spans="1:5" x14ac:dyDescent="0.35">
      <c r="A134" t="s">
        <v>148</v>
      </c>
      <c r="B134" t="s">
        <v>8</v>
      </c>
      <c r="C134" t="s">
        <v>163</v>
      </c>
      <c r="D134" t="s">
        <v>158</v>
      </c>
      <c r="E134" t="s">
        <v>166</v>
      </c>
    </row>
    <row r="135" spans="1:5" x14ac:dyDescent="0.35">
      <c r="A135" t="s">
        <v>227</v>
      </c>
      <c r="B135" t="s">
        <v>168</v>
      </c>
      <c r="C135" t="s">
        <v>169</v>
      </c>
      <c r="D135" t="s">
        <v>158</v>
      </c>
      <c r="E135" t="s">
        <v>164</v>
      </c>
    </row>
    <row r="136" spans="1:5" x14ac:dyDescent="0.35">
      <c r="A136" t="s">
        <v>228</v>
      </c>
      <c r="B136" t="s">
        <v>168</v>
      </c>
      <c r="C136" t="s">
        <v>169</v>
      </c>
      <c r="D136" t="s">
        <v>158</v>
      </c>
      <c r="E136" t="s">
        <v>164</v>
      </c>
    </row>
    <row r="137" spans="1:5" x14ac:dyDescent="0.35">
      <c r="A137" t="s">
        <v>229</v>
      </c>
      <c r="B137" t="s">
        <v>230</v>
      </c>
      <c r="C137" t="s">
        <v>183</v>
      </c>
      <c r="D137" t="s">
        <v>158</v>
      </c>
      <c r="E137" t="s">
        <v>164</v>
      </c>
    </row>
    <row r="138" spans="1:5" x14ac:dyDescent="0.35">
      <c r="A138" t="s">
        <v>231</v>
      </c>
      <c r="B138" t="s">
        <v>230</v>
      </c>
      <c r="C138" t="s">
        <v>183</v>
      </c>
      <c r="D138" t="s">
        <v>158</v>
      </c>
      <c r="E138" t="s">
        <v>164</v>
      </c>
    </row>
    <row r="139" spans="1:5" x14ac:dyDescent="0.35">
      <c r="A139" t="s">
        <v>232</v>
      </c>
      <c r="B139" t="s">
        <v>230</v>
      </c>
      <c r="C139" t="s">
        <v>183</v>
      </c>
      <c r="D139" t="s">
        <v>158</v>
      </c>
      <c r="E139" t="s">
        <v>164</v>
      </c>
    </row>
    <row r="140" spans="1:5" x14ac:dyDescent="0.35">
      <c r="A140" t="s">
        <v>233</v>
      </c>
      <c r="B140" t="s">
        <v>230</v>
      </c>
      <c r="C140" t="s">
        <v>183</v>
      </c>
      <c r="D140" t="s">
        <v>158</v>
      </c>
      <c r="E140" t="s">
        <v>164</v>
      </c>
    </row>
    <row r="141" spans="1:5" x14ac:dyDescent="0.35">
      <c r="A141" t="s">
        <v>234</v>
      </c>
      <c r="B141" t="s">
        <v>3</v>
      </c>
      <c r="C141" t="s">
        <v>163</v>
      </c>
      <c r="D141" t="s">
        <v>158</v>
      </c>
      <c r="E141" t="s">
        <v>164</v>
      </c>
    </row>
    <row r="142" spans="1:5" x14ac:dyDescent="0.35">
      <c r="A142" t="s">
        <v>235</v>
      </c>
      <c r="B142" t="s">
        <v>3</v>
      </c>
      <c r="C142" t="s">
        <v>163</v>
      </c>
      <c r="D142" t="s">
        <v>158</v>
      </c>
      <c r="E142" t="s">
        <v>164</v>
      </c>
    </row>
    <row r="143" spans="1:5" x14ac:dyDescent="0.35">
      <c r="A143" t="s">
        <v>236</v>
      </c>
      <c r="B143" t="s">
        <v>3</v>
      </c>
      <c r="C143" t="s">
        <v>163</v>
      </c>
      <c r="D143" t="s">
        <v>158</v>
      </c>
      <c r="E143" t="s">
        <v>164</v>
      </c>
    </row>
    <row r="144" spans="1:5" x14ac:dyDescent="0.35">
      <c r="A144" t="s">
        <v>237</v>
      </c>
      <c r="B144" t="s">
        <v>3</v>
      </c>
      <c r="C144" t="s">
        <v>163</v>
      </c>
      <c r="D144" t="s">
        <v>158</v>
      </c>
      <c r="E144" t="s">
        <v>164</v>
      </c>
    </row>
    <row r="145" spans="1:5" x14ac:dyDescent="0.35">
      <c r="A145" t="s">
        <v>238</v>
      </c>
      <c r="B145" t="s">
        <v>3</v>
      </c>
      <c r="C145" t="s">
        <v>163</v>
      </c>
      <c r="D145" t="s">
        <v>158</v>
      </c>
      <c r="E145" t="s">
        <v>164</v>
      </c>
    </row>
    <row r="146" spans="1:5" x14ac:dyDescent="0.35">
      <c r="A146" t="s">
        <v>239</v>
      </c>
      <c r="B146" t="s">
        <v>3</v>
      </c>
      <c r="C146" t="s">
        <v>163</v>
      </c>
      <c r="D146" t="s">
        <v>158</v>
      </c>
      <c r="E146" t="s">
        <v>164</v>
      </c>
    </row>
    <row r="147" spans="1:5" x14ac:dyDescent="0.35">
      <c r="A147" t="s">
        <v>240</v>
      </c>
      <c r="B147" t="s">
        <v>3</v>
      </c>
      <c r="C147" t="s">
        <v>163</v>
      </c>
      <c r="D147" t="s">
        <v>158</v>
      </c>
      <c r="E147" t="s">
        <v>164</v>
      </c>
    </row>
    <row r="148" spans="1:5" x14ac:dyDescent="0.35">
      <c r="A148" t="s">
        <v>241</v>
      </c>
      <c r="B148" t="s">
        <v>8</v>
      </c>
      <c r="C148" t="s">
        <v>163</v>
      </c>
      <c r="D148" t="s">
        <v>158</v>
      </c>
      <c r="E148" t="s">
        <v>164</v>
      </c>
    </row>
    <row r="149" spans="1:5" x14ac:dyDescent="0.35">
      <c r="A149" t="s">
        <v>242</v>
      </c>
      <c r="B149" t="s">
        <v>8</v>
      </c>
      <c r="C149" t="s">
        <v>163</v>
      </c>
      <c r="D149" t="s">
        <v>158</v>
      </c>
      <c r="E149" t="s">
        <v>164</v>
      </c>
    </row>
    <row r="150" spans="1:5" x14ac:dyDescent="0.35">
      <c r="A150" t="s">
        <v>243</v>
      </c>
      <c r="B150" t="s">
        <v>8</v>
      </c>
      <c r="C150" t="s">
        <v>163</v>
      </c>
      <c r="D150" t="s">
        <v>158</v>
      </c>
      <c r="E150" t="s">
        <v>164</v>
      </c>
    </row>
    <row r="151" spans="1:5" x14ac:dyDescent="0.35">
      <c r="A151" t="s">
        <v>244</v>
      </c>
      <c r="B151" t="s">
        <v>8</v>
      </c>
      <c r="C151" t="s">
        <v>163</v>
      </c>
      <c r="D151" t="s">
        <v>158</v>
      </c>
      <c r="E151" t="s">
        <v>164</v>
      </c>
    </row>
    <row r="152" spans="1:5" x14ac:dyDescent="0.35">
      <c r="A152" t="s">
        <v>245</v>
      </c>
      <c r="B152" t="s">
        <v>8</v>
      </c>
      <c r="C152" t="s">
        <v>163</v>
      </c>
      <c r="D152" t="s">
        <v>158</v>
      </c>
      <c r="E152" t="s">
        <v>164</v>
      </c>
    </row>
    <row r="153" spans="1:5" x14ac:dyDescent="0.35">
      <c r="A153" t="s">
        <v>246</v>
      </c>
      <c r="B153" t="s">
        <v>207</v>
      </c>
      <c r="C153" t="s">
        <v>183</v>
      </c>
      <c r="D153" t="s">
        <v>158</v>
      </c>
      <c r="E153" t="s">
        <v>164</v>
      </c>
    </row>
    <row r="154" spans="1:5" x14ac:dyDescent="0.35">
      <c r="A154" t="s">
        <v>247</v>
      </c>
      <c r="B154" t="s">
        <v>230</v>
      </c>
      <c r="C154" t="s">
        <v>185</v>
      </c>
      <c r="D154" t="s">
        <v>158</v>
      </c>
      <c r="E154" t="s">
        <v>164</v>
      </c>
    </row>
    <row r="155" spans="1:5" x14ac:dyDescent="0.35">
      <c r="A155" t="s">
        <v>248</v>
      </c>
      <c r="B155" t="s">
        <v>3</v>
      </c>
      <c r="C155" t="s">
        <v>163</v>
      </c>
      <c r="D155" t="s">
        <v>158</v>
      </c>
      <c r="E155" t="s">
        <v>164</v>
      </c>
    </row>
    <row r="156" spans="1:5" x14ac:dyDescent="0.35">
      <c r="A156" t="s">
        <v>249</v>
      </c>
      <c r="B156" t="s">
        <v>7</v>
      </c>
      <c r="C156" t="s">
        <v>163</v>
      </c>
      <c r="D156" t="s">
        <v>158</v>
      </c>
      <c r="E156" t="s">
        <v>164</v>
      </c>
    </row>
    <row r="157" spans="1:5" x14ac:dyDescent="0.35">
      <c r="A157" t="s">
        <v>132</v>
      </c>
      <c r="B157" t="s">
        <v>7</v>
      </c>
      <c r="C157" t="s">
        <v>250</v>
      </c>
      <c r="D157" t="s">
        <v>158</v>
      </c>
      <c r="E157" t="s">
        <v>161</v>
      </c>
    </row>
    <row r="158" spans="1:5" x14ac:dyDescent="0.35">
      <c r="A158" t="s">
        <v>133</v>
      </c>
      <c r="B158" t="s">
        <v>3</v>
      </c>
      <c r="C158" t="s">
        <v>250</v>
      </c>
      <c r="D158" t="s">
        <v>158</v>
      </c>
      <c r="E158" t="s">
        <v>165</v>
      </c>
    </row>
    <row r="159" spans="1:5" x14ac:dyDescent="0.35">
      <c r="A159" t="s">
        <v>251</v>
      </c>
      <c r="B159" t="s">
        <v>7</v>
      </c>
      <c r="C159" t="s">
        <v>163</v>
      </c>
      <c r="D159" t="s">
        <v>158</v>
      </c>
      <c r="E159" t="s">
        <v>164</v>
      </c>
    </row>
    <row r="160" spans="1:5" x14ac:dyDescent="0.35">
      <c r="A160" t="s">
        <v>252</v>
      </c>
      <c r="B160" t="s">
        <v>9</v>
      </c>
      <c r="C160" t="s">
        <v>163</v>
      </c>
      <c r="D160" t="s">
        <v>158</v>
      </c>
      <c r="E160" t="s">
        <v>164</v>
      </c>
    </row>
    <row r="161" spans="1:5" x14ac:dyDescent="0.35">
      <c r="A161" t="s">
        <v>134</v>
      </c>
      <c r="B161" t="s">
        <v>4</v>
      </c>
      <c r="C161" t="s">
        <v>250</v>
      </c>
      <c r="D161" t="s">
        <v>158</v>
      </c>
      <c r="E161" t="s">
        <v>166</v>
      </c>
    </row>
    <row r="162" spans="1:5" x14ac:dyDescent="0.35">
      <c r="A162" t="s">
        <v>253</v>
      </c>
      <c r="B162" t="s">
        <v>168</v>
      </c>
      <c r="C162" t="s">
        <v>169</v>
      </c>
      <c r="D162" t="s">
        <v>158</v>
      </c>
      <c r="E162" t="s">
        <v>164</v>
      </c>
    </row>
    <row r="163" spans="1:5" x14ac:dyDescent="0.35">
      <c r="A163" t="s">
        <v>140</v>
      </c>
      <c r="B163" t="s">
        <v>6</v>
      </c>
      <c r="C163" t="s">
        <v>163</v>
      </c>
      <c r="D163" t="s">
        <v>158</v>
      </c>
      <c r="E163" t="s">
        <v>159</v>
      </c>
    </row>
    <row r="164" spans="1:5" x14ac:dyDescent="0.35">
      <c r="A164" t="s">
        <v>135</v>
      </c>
      <c r="B164" t="s">
        <v>6</v>
      </c>
      <c r="C164" t="s">
        <v>157</v>
      </c>
      <c r="D164" t="s">
        <v>158</v>
      </c>
      <c r="E164" t="s">
        <v>159</v>
      </c>
    </row>
    <row r="165" spans="1:5" x14ac:dyDescent="0.35">
      <c r="A165" t="s">
        <v>254</v>
      </c>
      <c r="B165" t="s">
        <v>4</v>
      </c>
      <c r="C165" t="s">
        <v>163</v>
      </c>
      <c r="D165" t="s">
        <v>158</v>
      </c>
      <c r="E165" t="s">
        <v>164</v>
      </c>
    </row>
    <row r="166" spans="1:5" x14ac:dyDescent="0.35">
      <c r="A166" t="s">
        <v>255</v>
      </c>
      <c r="B166" t="s">
        <v>168</v>
      </c>
      <c r="C166" t="s">
        <v>169</v>
      </c>
      <c r="D166" t="s">
        <v>158</v>
      </c>
      <c r="E166" t="s">
        <v>164</v>
      </c>
    </row>
    <row r="167" spans="1:5" x14ac:dyDescent="0.35">
      <c r="A167" t="s">
        <v>256</v>
      </c>
      <c r="B167" t="s">
        <v>3</v>
      </c>
      <c r="C167" t="s">
        <v>163</v>
      </c>
      <c r="D167" t="s">
        <v>158</v>
      </c>
      <c r="E167" t="s">
        <v>164</v>
      </c>
    </row>
    <row r="168" spans="1:5" x14ac:dyDescent="0.35">
      <c r="A168" t="s">
        <v>257</v>
      </c>
      <c r="B168" t="s">
        <v>9</v>
      </c>
      <c r="C168" t="s">
        <v>163</v>
      </c>
      <c r="D168" t="s">
        <v>158</v>
      </c>
      <c r="E168" t="s">
        <v>164</v>
      </c>
    </row>
    <row r="169" spans="1:5" x14ac:dyDescent="0.35">
      <c r="A169" t="s">
        <v>258</v>
      </c>
      <c r="B169" t="s">
        <v>8</v>
      </c>
      <c r="C169" t="s">
        <v>163</v>
      </c>
      <c r="D169" t="s">
        <v>158</v>
      </c>
      <c r="E169" t="s">
        <v>164</v>
      </c>
    </row>
    <row r="170" spans="1:5" x14ac:dyDescent="0.35">
      <c r="A170" t="s">
        <v>259</v>
      </c>
      <c r="B170" t="s">
        <v>6</v>
      </c>
      <c r="C170" t="s">
        <v>157</v>
      </c>
      <c r="D170" t="s">
        <v>158</v>
      </c>
      <c r="E170" t="s">
        <v>165</v>
      </c>
    </row>
    <row r="171" spans="1:5" x14ac:dyDescent="0.35">
      <c r="A171" t="s">
        <v>260</v>
      </c>
      <c r="B171" t="s">
        <v>9</v>
      </c>
      <c r="C171" t="s">
        <v>163</v>
      </c>
      <c r="D171" t="s">
        <v>158</v>
      </c>
      <c r="E171" t="s">
        <v>164</v>
      </c>
    </row>
    <row r="172" spans="1:5" x14ac:dyDescent="0.35">
      <c r="A172" t="s">
        <v>261</v>
      </c>
      <c r="B172" t="s">
        <v>10</v>
      </c>
      <c r="C172" t="s">
        <v>163</v>
      </c>
      <c r="D172" t="s">
        <v>158</v>
      </c>
      <c r="E172" t="s">
        <v>164</v>
      </c>
    </row>
    <row r="173" spans="1:5" x14ac:dyDescent="0.35">
      <c r="A173" t="s">
        <v>262</v>
      </c>
      <c r="B173" t="s">
        <v>7</v>
      </c>
      <c r="C173" t="s">
        <v>163</v>
      </c>
      <c r="D173" t="s">
        <v>158</v>
      </c>
      <c r="E173" t="s">
        <v>164</v>
      </c>
    </row>
    <row r="174" spans="1:5" x14ac:dyDescent="0.35">
      <c r="A174" t="s">
        <v>263</v>
      </c>
      <c r="B174" t="s">
        <v>168</v>
      </c>
      <c r="C174" t="s">
        <v>169</v>
      </c>
      <c r="D174" t="s">
        <v>158</v>
      </c>
      <c r="E174" t="s">
        <v>164</v>
      </c>
    </row>
    <row r="175" spans="1:5" x14ac:dyDescent="0.35">
      <c r="A175" t="s">
        <v>264</v>
      </c>
      <c r="B175" t="s">
        <v>194</v>
      </c>
      <c r="C175" t="s">
        <v>185</v>
      </c>
      <c r="D175" t="s">
        <v>158</v>
      </c>
      <c r="E175" t="s">
        <v>165</v>
      </c>
    </row>
    <row r="176" spans="1:5" x14ac:dyDescent="0.35">
      <c r="A176" t="s">
        <v>80</v>
      </c>
      <c r="B176" t="s">
        <v>156</v>
      </c>
      <c r="C176" t="s">
        <v>157</v>
      </c>
      <c r="D176" t="s">
        <v>158</v>
      </c>
      <c r="E176" t="s">
        <v>159</v>
      </c>
    </row>
    <row r="177" spans="1:5" x14ac:dyDescent="0.35">
      <c r="A177" t="s">
        <v>47</v>
      </c>
      <c r="B177" t="s">
        <v>265</v>
      </c>
      <c r="C177" t="s">
        <v>157</v>
      </c>
      <c r="D177" t="s">
        <v>265</v>
      </c>
      <c r="E177" t="s">
        <v>266</v>
      </c>
    </row>
    <row r="178" spans="1:5" x14ac:dyDescent="0.35">
      <c r="A178" t="s">
        <v>56</v>
      </c>
      <c r="B178" t="s">
        <v>265</v>
      </c>
      <c r="C178" t="s">
        <v>157</v>
      </c>
      <c r="D178" t="s">
        <v>265</v>
      </c>
      <c r="E178" t="s">
        <v>266</v>
      </c>
    </row>
    <row r="179" spans="1:5" x14ac:dyDescent="0.35">
      <c r="A179" t="s">
        <v>83</v>
      </c>
      <c r="B179" t="s">
        <v>265</v>
      </c>
      <c r="C179" t="s">
        <v>157</v>
      </c>
      <c r="D179" t="s">
        <v>265</v>
      </c>
      <c r="E179" t="s">
        <v>266</v>
      </c>
    </row>
    <row r="180" spans="1:5" x14ac:dyDescent="0.35">
      <c r="A180" t="s">
        <v>90</v>
      </c>
      <c r="B180" t="s">
        <v>265</v>
      </c>
      <c r="C180" t="s">
        <v>157</v>
      </c>
      <c r="D180" t="s">
        <v>265</v>
      </c>
      <c r="E180" t="s">
        <v>266</v>
      </c>
    </row>
    <row r="181" spans="1:5" x14ac:dyDescent="0.35">
      <c r="A181" t="s">
        <v>98</v>
      </c>
      <c r="B181" t="s">
        <v>265</v>
      </c>
      <c r="C181" t="s">
        <v>157</v>
      </c>
      <c r="D181" t="s">
        <v>265</v>
      </c>
      <c r="E181" t="s">
        <v>266</v>
      </c>
    </row>
    <row r="182" spans="1:5" x14ac:dyDescent="0.35">
      <c r="A182" t="s">
        <v>105</v>
      </c>
      <c r="B182" t="s">
        <v>265</v>
      </c>
      <c r="C182" t="s">
        <v>157</v>
      </c>
      <c r="D182" t="s">
        <v>265</v>
      </c>
      <c r="E182" t="s">
        <v>266</v>
      </c>
    </row>
    <row r="183" spans="1:5" x14ac:dyDescent="0.35">
      <c r="A183" t="s">
        <v>118</v>
      </c>
      <c r="B183" t="s">
        <v>265</v>
      </c>
      <c r="C183" t="s">
        <v>157</v>
      </c>
      <c r="D183" t="s">
        <v>265</v>
      </c>
      <c r="E183" t="s">
        <v>266</v>
      </c>
    </row>
    <row r="184" spans="1:5" x14ac:dyDescent="0.35">
      <c r="A184" t="s">
        <v>122</v>
      </c>
      <c r="B184" t="s">
        <v>265</v>
      </c>
      <c r="C184" t="s">
        <v>157</v>
      </c>
      <c r="D184" t="s">
        <v>265</v>
      </c>
      <c r="E184" t="s">
        <v>266</v>
      </c>
    </row>
    <row r="185" spans="1:5" x14ac:dyDescent="0.35">
      <c r="A185" t="s">
        <v>126</v>
      </c>
      <c r="B185" t="s">
        <v>265</v>
      </c>
      <c r="C185" t="s">
        <v>157</v>
      </c>
      <c r="D185" t="s">
        <v>265</v>
      </c>
      <c r="E185" t="s">
        <v>266</v>
      </c>
    </row>
    <row r="186" spans="1:5" x14ac:dyDescent="0.35">
      <c r="A186" t="s">
        <v>127</v>
      </c>
      <c r="B186" t="s">
        <v>265</v>
      </c>
      <c r="C186" t="s">
        <v>157</v>
      </c>
      <c r="D186" t="s">
        <v>265</v>
      </c>
      <c r="E186" t="s">
        <v>266</v>
      </c>
    </row>
    <row r="187" spans="1:5" x14ac:dyDescent="0.35">
      <c r="A187" t="s">
        <v>128</v>
      </c>
      <c r="B187" t="s">
        <v>265</v>
      </c>
      <c r="C187" t="s">
        <v>157</v>
      </c>
      <c r="D187" t="s">
        <v>265</v>
      </c>
      <c r="E187" t="s">
        <v>266</v>
      </c>
    </row>
    <row r="188" spans="1:5" x14ac:dyDescent="0.35">
      <c r="A188" t="s">
        <v>129</v>
      </c>
      <c r="B188" t="s">
        <v>265</v>
      </c>
      <c r="C188" t="s">
        <v>157</v>
      </c>
      <c r="D188" t="s">
        <v>265</v>
      </c>
      <c r="E188" t="s">
        <v>266</v>
      </c>
    </row>
    <row r="189" spans="1:5" x14ac:dyDescent="0.35">
      <c r="A189" t="s">
        <v>267</v>
      </c>
      <c r="B189" t="s">
        <v>265</v>
      </c>
      <c r="C189" t="s">
        <v>157</v>
      </c>
      <c r="D189" t="s">
        <v>265</v>
      </c>
      <c r="E189" t="s">
        <v>266</v>
      </c>
    </row>
    <row r="190" spans="1:5" x14ac:dyDescent="0.35">
      <c r="A190" t="s">
        <v>131</v>
      </c>
      <c r="B190" t="s">
        <v>265</v>
      </c>
      <c r="C190" t="s">
        <v>157</v>
      </c>
      <c r="D190" t="s">
        <v>265</v>
      </c>
      <c r="E190" t="s">
        <v>266</v>
      </c>
    </row>
    <row r="191" spans="1:5" x14ac:dyDescent="0.35">
      <c r="A191" t="s">
        <v>126</v>
      </c>
      <c r="B191" t="s">
        <v>265</v>
      </c>
      <c r="C191" t="s">
        <v>163</v>
      </c>
      <c r="D191" t="s">
        <v>265</v>
      </c>
      <c r="E191" t="s">
        <v>266</v>
      </c>
    </row>
    <row r="192" spans="1:5" x14ac:dyDescent="0.35">
      <c r="A192" t="s">
        <v>268</v>
      </c>
      <c r="B192" t="s">
        <v>265</v>
      </c>
      <c r="C192" t="s">
        <v>269</v>
      </c>
      <c r="D192" t="s">
        <v>265</v>
      </c>
      <c r="E192" t="s">
        <v>164</v>
      </c>
    </row>
    <row r="193" spans="1:5" x14ac:dyDescent="0.35">
      <c r="A193" t="s">
        <v>270</v>
      </c>
      <c r="B193" t="s">
        <v>265</v>
      </c>
      <c r="C193" t="s">
        <v>163</v>
      </c>
      <c r="D193" t="s">
        <v>265</v>
      </c>
      <c r="E193" t="s">
        <v>266</v>
      </c>
    </row>
    <row r="194" spans="1:5" x14ac:dyDescent="0.35">
      <c r="A194" t="s">
        <v>271</v>
      </c>
      <c r="B194" t="s">
        <v>265</v>
      </c>
      <c r="C194" t="s">
        <v>269</v>
      </c>
      <c r="D194" t="s">
        <v>265</v>
      </c>
      <c r="E194" t="s">
        <v>266</v>
      </c>
    </row>
    <row r="195" spans="1:5" x14ac:dyDescent="0.35">
      <c r="A195" t="s">
        <v>272</v>
      </c>
      <c r="B195" t="s">
        <v>265</v>
      </c>
      <c r="C195" t="s">
        <v>269</v>
      </c>
      <c r="D195" t="s">
        <v>265</v>
      </c>
      <c r="E195" t="s">
        <v>266</v>
      </c>
    </row>
    <row r="196" spans="1:5" x14ac:dyDescent="0.35">
      <c r="A196" t="s">
        <v>130</v>
      </c>
      <c r="B196" t="s">
        <v>265</v>
      </c>
      <c r="C196" t="s">
        <v>163</v>
      </c>
      <c r="D196" t="s">
        <v>265</v>
      </c>
      <c r="E196" t="s">
        <v>266</v>
      </c>
    </row>
    <row r="197" spans="1:5" x14ac:dyDescent="0.35">
      <c r="A197" t="s">
        <v>273</v>
      </c>
      <c r="B197" t="s">
        <v>265</v>
      </c>
      <c r="C197" t="s">
        <v>163</v>
      </c>
      <c r="D197" t="s">
        <v>265</v>
      </c>
      <c r="E197" t="s">
        <v>266</v>
      </c>
    </row>
    <row r="198" spans="1:5" x14ac:dyDescent="0.35">
      <c r="A198" t="s">
        <v>274</v>
      </c>
      <c r="B198" t="s">
        <v>265</v>
      </c>
      <c r="C198" t="s">
        <v>163</v>
      </c>
      <c r="D198" t="s">
        <v>265</v>
      </c>
      <c r="E198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5802-42D8-405B-BD45-2FDC71C6BE4F}">
  <dimension ref="A1:G22"/>
  <sheetViews>
    <sheetView workbookViewId="0">
      <selection activeCell="C1" sqref="C1"/>
    </sheetView>
  </sheetViews>
  <sheetFormatPr baseColWidth="10" defaultColWidth="11.453125" defaultRowHeight="14.5" x14ac:dyDescent="0.35"/>
  <cols>
    <col min="1" max="1" width="20.453125" customWidth="1"/>
    <col min="3" max="3" width="13.1796875" style="6" customWidth="1"/>
    <col min="4" max="4" width="35.453125" customWidth="1"/>
  </cols>
  <sheetData>
    <row r="1" spans="1:7" x14ac:dyDescent="0.35">
      <c r="A1" s="20" t="s">
        <v>275</v>
      </c>
      <c r="B1" s="20" t="s">
        <v>21</v>
      </c>
      <c r="C1" s="22" t="s">
        <v>276</v>
      </c>
      <c r="D1" s="21" t="s">
        <v>277</v>
      </c>
      <c r="E1" s="20" t="s">
        <v>278</v>
      </c>
      <c r="F1" s="20" t="s">
        <v>279</v>
      </c>
      <c r="G1" s="20" t="s">
        <v>280</v>
      </c>
    </row>
    <row r="2" spans="1:7" ht="29" x14ac:dyDescent="0.35">
      <c r="A2" s="10" t="s">
        <v>150</v>
      </c>
      <c r="B2" s="10" t="s">
        <v>281</v>
      </c>
      <c r="C2" s="23">
        <v>3</v>
      </c>
      <c r="D2" s="11" t="s">
        <v>282</v>
      </c>
      <c r="E2" s="10" t="s">
        <v>213</v>
      </c>
      <c r="F2" s="10" t="s">
        <v>213</v>
      </c>
      <c r="G2" s="11" t="s">
        <v>283</v>
      </c>
    </row>
    <row r="3" spans="1:7" x14ac:dyDescent="0.35">
      <c r="A3" s="10" t="s">
        <v>171</v>
      </c>
      <c r="B3" s="10" t="s">
        <v>281</v>
      </c>
      <c r="C3" s="23">
        <v>3</v>
      </c>
      <c r="D3" s="11" t="s">
        <v>284</v>
      </c>
      <c r="E3" s="11" t="s">
        <v>284</v>
      </c>
      <c r="F3" s="11" t="s">
        <v>284</v>
      </c>
      <c r="G3" s="11" t="s">
        <v>284</v>
      </c>
    </row>
    <row r="4" spans="1:7" x14ac:dyDescent="0.35">
      <c r="A4" s="10" t="s">
        <v>174</v>
      </c>
      <c r="B4" s="10" t="s">
        <v>281</v>
      </c>
      <c r="C4" s="23">
        <v>3</v>
      </c>
      <c r="D4" s="11" t="s">
        <v>285</v>
      </c>
      <c r="E4" s="10" t="s">
        <v>199</v>
      </c>
      <c r="F4" s="10" t="s">
        <v>199</v>
      </c>
      <c r="G4" s="10" t="s">
        <v>199</v>
      </c>
    </row>
    <row r="5" spans="1:7" ht="29" x14ac:dyDescent="0.35">
      <c r="A5" s="10" t="s">
        <v>141</v>
      </c>
      <c r="B5" s="10" t="s">
        <v>281</v>
      </c>
      <c r="C5" s="23">
        <v>2</v>
      </c>
      <c r="D5" s="11" t="s">
        <v>286</v>
      </c>
      <c r="E5" s="11" t="s">
        <v>287</v>
      </c>
      <c r="F5" s="10"/>
      <c r="G5" s="10" t="s">
        <v>64</v>
      </c>
    </row>
    <row r="6" spans="1:7" ht="29" x14ac:dyDescent="0.35">
      <c r="A6" s="10" t="s">
        <v>137</v>
      </c>
      <c r="B6" s="10" t="s">
        <v>281</v>
      </c>
      <c r="C6" s="23">
        <v>3</v>
      </c>
      <c r="D6" s="11" t="s">
        <v>286</v>
      </c>
      <c r="E6" s="11" t="s">
        <v>288</v>
      </c>
      <c r="F6" s="10"/>
      <c r="G6" s="10"/>
    </row>
    <row r="7" spans="1:7" ht="29" x14ac:dyDescent="0.35">
      <c r="A7" s="10" t="s">
        <v>180</v>
      </c>
      <c r="B7" s="10" t="s">
        <v>281</v>
      </c>
      <c r="C7" s="23">
        <v>2</v>
      </c>
      <c r="D7" s="11" t="s">
        <v>286</v>
      </c>
      <c r="E7" s="10"/>
      <c r="F7" s="10" t="s">
        <v>107</v>
      </c>
      <c r="G7" s="10"/>
    </row>
    <row r="8" spans="1:7" x14ac:dyDescent="0.35">
      <c r="A8" s="10" t="s">
        <v>188</v>
      </c>
      <c r="B8" s="10" t="s">
        <v>281</v>
      </c>
      <c r="C8" s="23">
        <v>3</v>
      </c>
      <c r="D8" s="11" t="s">
        <v>289</v>
      </c>
      <c r="E8" s="10" t="s">
        <v>135</v>
      </c>
      <c r="F8" s="10" t="s">
        <v>135</v>
      </c>
      <c r="G8" s="10" t="s">
        <v>135</v>
      </c>
    </row>
    <row r="9" spans="1:7" ht="43.5" x14ac:dyDescent="0.35">
      <c r="A9" s="12" t="s">
        <v>204</v>
      </c>
      <c r="B9" s="12" t="s">
        <v>281</v>
      </c>
      <c r="C9" s="24">
        <v>3</v>
      </c>
      <c r="D9" s="13" t="s">
        <v>290</v>
      </c>
      <c r="E9" s="12" t="s">
        <v>94</v>
      </c>
      <c r="F9" s="13" t="s">
        <v>291</v>
      </c>
      <c r="G9" s="13" t="s">
        <v>292</v>
      </c>
    </row>
    <row r="10" spans="1:7" ht="29" x14ac:dyDescent="0.35">
      <c r="A10" s="17"/>
      <c r="B10" s="17"/>
      <c r="C10" s="25"/>
      <c r="D10" s="14" t="s">
        <v>293</v>
      </c>
      <c r="E10" s="17"/>
      <c r="F10" s="14"/>
      <c r="G10" s="14"/>
    </row>
    <row r="11" spans="1:7" x14ac:dyDescent="0.35">
      <c r="A11" s="10" t="s">
        <v>216</v>
      </c>
      <c r="B11" s="10" t="s">
        <v>281</v>
      </c>
      <c r="C11" s="23">
        <v>3</v>
      </c>
      <c r="D11" s="11" t="s">
        <v>284</v>
      </c>
      <c r="E11" s="10"/>
      <c r="F11" s="10"/>
      <c r="G11" s="10"/>
    </row>
    <row r="12" spans="1:7" x14ac:dyDescent="0.35">
      <c r="A12" s="10" t="s">
        <v>136</v>
      </c>
      <c r="B12" s="10" t="s">
        <v>281</v>
      </c>
      <c r="C12" s="23">
        <v>3</v>
      </c>
      <c r="D12" s="11" t="s">
        <v>284</v>
      </c>
      <c r="E12" s="10"/>
      <c r="F12" s="10"/>
      <c r="G12" s="10"/>
    </row>
    <row r="13" spans="1:7" ht="29" x14ac:dyDescent="0.35">
      <c r="A13" s="10" t="s">
        <v>138</v>
      </c>
      <c r="B13" s="10" t="s">
        <v>281</v>
      </c>
      <c r="C13" s="23">
        <v>3</v>
      </c>
      <c r="D13" s="11" t="s">
        <v>286</v>
      </c>
      <c r="E13" s="10"/>
      <c r="F13" s="10"/>
      <c r="G13" s="10"/>
    </row>
    <row r="14" spans="1:7" x14ac:dyDescent="0.35">
      <c r="A14" s="10" t="s">
        <v>51</v>
      </c>
      <c r="B14" s="10" t="s">
        <v>294</v>
      </c>
      <c r="C14" s="23">
        <v>3</v>
      </c>
      <c r="D14" s="11" t="s">
        <v>295</v>
      </c>
      <c r="E14" s="10" t="s">
        <v>209</v>
      </c>
      <c r="F14" s="10" t="s">
        <v>209</v>
      </c>
      <c r="G14" s="10" t="s">
        <v>209</v>
      </c>
    </row>
    <row r="15" spans="1:7" x14ac:dyDescent="0.35">
      <c r="A15" s="10" t="s">
        <v>148</v>
      </c>
      <c r="B15" s="10" t="s">
        <v>281</v>
      </c>
      <c r="C15" s="23">
        <v>3</v>
      </c>
      <c r="D15" s="11" t="s">
        <v>284</v>
      </c>
      <c r="E15" s="10"/>
      <c r="F15" s="10"/>
      <c r="G15" s="10"/>
    </row>
    <row r="16" spans="1:7" x14ac:dyDescent="0.35">
      <c r="A16" s="10" t="s">
        <v>140</v>
      </c>
      <c r="B16" s="10" t="s">
        <v>281</v>
      </c>
      <c r="C16" s="23">
        <v>3</v>
      </c>
      <c r="D16" s="11" t="s">
        <v>284</v>
      </c>
      <c r="E16" s="10"/>
      <c r="F16" s="10"/>
      <c r="G16" s="10"/>
    </row>
    <row r="17" spans="1:7" x14ac:dyDescent="0.35">
      <c r="A17" s="10" t="s">
        <v>145</v>
      </c>
      <c r="B17" s="10" t="s">
        <v>281</v>
      </c>
      <c r="C17" s="23">
        <v>3</v>
      </c>
      <c r="D17" s="11"/>
      <c r="E17" s="10" t="s">
        <v>125</v>
      </c>
      <c r="F17" s="10" t="s">
        <v>125</v>
      </c>
      <c r="G17" s="10" t="s">
        <v>125</v>
      </c>
    </row>
    <row r="18" spans="1:7" x14ac:dyDescent="0.35">
      <c r="A18" s="10" t="s">
        <v>33</v>
      </c>
      <c r="B18" s="10" t="s">
        <v>296</v>
      </c>
      <c r="C18" s="23">
        <v>2</v>
      </c>
      <c r="D18" s="11"/>
      <c r="E18" s="10"/>
      <c r="F18" s="10"/>
      <c r="G18" s="10"/>
    </row>
    <row r="19" spans="1:7" x14ac:dyDescent="0.35">
      <c r="A19" s="10" t="s">
        <v>54</v>
      </c>
      <c r="B19" s="10" t="s">
        <v>296</v>
      </c>
      <c r="C19" s="23">
        <v>3</v>
      </c>
      <c r="D19" s="11"/>
      <c r="E19" s="10"/>
      <c r="F19" s="10"/>
      <c r="G19" s="10"/>
    </row>
    <row r="20" spans="1:7" x14ac:dyDescent="0.35">
      <c r="A20" s="12" t="s">
        <v>68</v>
      </c>
      <c r="B20" s="12" t="s">
        <v>296</v>
      </c>
      <c r="C20" s="24">
        <v>2</v>
      </c>
      <c r="D20" s="13"/>
      <c r="E20" s="12"/>
      <c r="F20" s="12"/>
      <c r="G20" s="12"/>
    </row>
    <row r="21" spans="1:7" x14ac:dyDescent="0.35">
      <c r="A21" s="15" t="s">
        <v>96</v>
      </c>
      <c r="B21" s="15" t="s">
        <v>296</v>
      </c>
      <c r="C21" s="26">
        <v>2</v>
      </c>
      <c r="D21" s="16"/>
      <c r="E21" s="15"/>
      <c r="F21" s="15"/>
      <c r="G21" s="15"/>
    </row>
    <row r="22" spans="1:7" x14ac:dyDescent="0.35">
      <c r="A22" s="18" t="s">
        <v>220</v>
      </c>
      <c r="B22" s="18" t="s">
        <v>294</v>
      </c>
      <c r="C22" s="27">
        <v>3</v>
      </c>
      <c r="D22" s="19" t="s">
        <v>297</v>
      </c>
      <c r="E22" s="18" t="s">
        <v>51</v>
      </c>
      <c r="F22" s="18" t="s">
        <v>51</v>
      </c>
      <c r="G22" s="18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Rutas Fijas MAYO</vt:lpstr>
      <vt:lpstr>RUTAS X SUP</vt:lpstr>
      <vt:lpstr>Hoja3</vt:lpstr>
      <vt:lpstr>Rutas desactivadas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Portillo Romero</dc:creator>
  <cp:keywords/>
  <dc:description/>
  <cp:lastModifiedBy>BRIAN ALEXANDER FUENTES</cp:lastModifiedBy>
  <cp:revision/>
  <dcterms:created xsi:type="dcterms:W3CDTF">2026-01-02T23:41:42Z</dcterms:created>
  <dcterms:modified xsi:type="dcterms:W3CDTF">2026-05-12T22:07:58Z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2026-01-02T23:45:10Z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bde0e5d2-34df-41e3-a7cf-5d75eb0ec2cd</vt:lpwstr>
  </property>
  <property fmtid="{D5CDD505-2E9C-101B-9397-08002B2CF9AE}" pid="8" name="MSIP_Label_68104b14-b53d-46de-9ae8-975cc0e84815_ContentBits">
    <vt:lpwstr>0</vt:lpwstr>
  </property>
</Properties>
</file>